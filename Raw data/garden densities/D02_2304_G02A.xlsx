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ra/Downloads/Okeanos Alaska Video Analysis/R Analysis/Okeanos-Video-Analysis/raw_data/garden densities/"/>
    </mc:Choice>
  </mc:AlternateContent>
  <xr:revisionPtr revIDLastSave="0" documentId="13_ncr:1_{9C42DD2E-6DB3-3240-97E6-A8100B3704EB}" xr6:coauthVersionLast="47" xr6:coauthVersionMax="47" xr10:uidLastSave="{00000000-0000-0000-0000-000000000000}"/>
  <bookViews>
    <workbookView xWindow="-28700" yWindow="1240" windowWidth="28800" windowHeight="17500" xr2:uid="{5F83DC87-46B5-9047-A834-376093B067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  <c r="M11" i="1" s="1"/>
  <c r="N11" i="1" s="1"/>
  <c r="L10" i="1"/>
  <c r="M10" i="1" s="1"/>
  <c r="N10" i="1" s="1"/>
  <c r="L9" i="1"/>
  <c r="M9" i="1" s="1"/>
  <c r="N9" i="1" s="1"/>
  <c r="L8" i="1"/>
  <c r="M8" i="1" s="1"/>
  <c r="N8" i="1" s="1"/>
  <c r="L7" i="1"/>
  <c r="M7" i="1" s="1"/>
  <c r="N7" i="1" s="1"/>
  <c r="L6" i="1"/>
  <c r="M6" i="1" s="1"/>
  <c r="N6" i="1" s="1"/>
  <c r="L5" i="1"/>
  <c r="M5" i="1" s="1"/>
  <c r="N5" i="1" s="1"/>
  <c r="L4" i="1"/>
  <c r="M4" i="1" s="1"/>
  <c r="N4" i="1" s="1"/>
  <c r="L3" i="1"/>
  <c r="M3" i="1" s="1"/>
  <c r="N3" i="1" s="1"/>
  <c r="L2" i="1"/>
  <c r="M2" i="1" s="1"/>
  <c r="N2" i="1" s="1"/>
</calcChain>
</file>

<file path=xl/sharedStrings.xml><?xml version="1.0" encoding="utf-8"?>
<sst xmlns="http://schemas.openxmlformats.org/spreadsheetml/2006/main" count="34" uniqueCount="25">
  <si>
    <t>PD03</t>
  </si>
  <si>
    <t>PD02</t>
  </si>
  <si>
    <t>PD05</t>
  </si>
  <si>
    <t>CAO02</t>
  </si>
  <si>
    <t>CAH02</t>
  </si>
  <si>
    <t>CAO04</t>
  </si>
  <si>
    <t>PH02</t>
  </si>
  <si>
    <t>1_203909</t>
  </si>
  <si>
    <t>2_205111</t>
  </si>
  <si>
    <t>3_205459</t>
  </si>
  <si>
    <t>4_205735</t>
  </si>
  <si>
    <t>5_211847</t>
  </si>
  <si>
    <t>6_212126</t>
  </si>
  <si>
    <t>7_213129</t>
  </si>
  <si>
    <t>8_215013</t>
  </si>
  <si>
    <t>9_213521</t>
  </si>
  <si>
    <t>10_210645</t>
  </si>
  <si>
    <t>frame_id</t>
  </si>
  <si>
    <t>frame_no</t>
  </si>
  <si>
    <t>area_squared</t>
  </si>
  <si>
    <t>total_ind</t>
  </si>
  <si>
    <t>density_per_m_squared</t>
  </si>
  <si>
    <t>density_per_10m_squared</t>
  </si>
  <si>
    <t>2304-2A</t>
  </si>
  <si>
    <t>garden_id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</si>
</sst>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F2590-BBEB-D44F-AF92-9E9883EEE43A}">
  <dimension ref="A1:N11"/>
  <sheetViews>
    <sheetView tabSelected="1" zoomScale="120" zoomScaleNormal="120" workbookViewId="0">
      <selection activeCell="C14" sqref="C14"/>
    </sheetView>
  </sheetViews>
  <sheetFormatPr baseColWidth="10" defaultRowHeight="16" x14ac:dyDescent="0.2"/>
  <cols>
    <col min="4" max="4" width="14.33203125" customWidth="1"/>
    <col min="13" max="13" width="21.5" customWidth="1"/>
    <col min="14" max="14" width="24.33203125" customWidth="1"/>
  </cols>
  <sheetData>
    <row r="1" spans="1:14" x14ac:dyDescent="0.2">
      <c r="A1" t="s">
        <v>24</v>
      </c>
      <c r="B1" s="1" t="s">
        <v>17</v>
      </c>
      <c r="C1" s="1" t="s">
        <v>18</v>
      </c>
      <c r="D1" s="1" t="s">
        <v>19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20</v>
      </c>
      <c r="M1" s="1" t="s">
        <v>21</v>
      </c>
      <c r="N1" s="1" t="s">
        <v>22</v>
      </c>
    </row>
    <row r="2" spans="1:14" x14ac:dyDescent="0.2">
      <c r="A2" t="s">
        <v>23</v>
      </c>
      <c r="B2" s="1" t="s">
        <v>7</v>
      </c>
      <c r="C2" s="1">
        <v>1</v>
      </c>
      <c r="D2" s="1">
        <v>3.8290000000000002</v>
      </c>
      <c r="E2" s="1">
        <v>23</v>
      </c>
      <c r="F2" s="1">
        <v>9</v>
      </c>
      <c r="G2" s="1">
        <v>1</v>
      </c>
      <c r="H2" s="1">
        <v>0</v>
      </c>
      <c r="I2" s="1">
        <v>0</v>
      </c>
      <c r="J2" s="1">
        <v>0</v>
      </c>
      <c r="K2" s="1">
        <v>0</v>
      </c>
      <c r="L2" s="1">
        <f>SUM(E2:G2)</f>
        <v>33</v>
      </c>
      <c r="M2" s="1">
        <f t="shared" ref="M2:M11" si="0">(L2/D2)</f>
        <v>8.6184382345259856</v>
      </c>
      <c r="N2" s="1">
        <f>M2/10</f>
        <v>0.86184382345259858</v>
      </c>
    </row>
    <row r="3" spans="1:14" x14ac:dyDescent="0.2">
      <c r="A3" t="s">
        <v>23</v>
      </c>
      <c r="B3" s="1" t="s">
        <v>8</v>
      </c>
      <c r="C3" s="1">
        <v>2</v>
      </c>
      <c r="D3" s="1">
        <v>4.7880000000000003</v>
      </c>
      <c r="E3" s="1">
        <v>82</v>
      </c>
      <c r="F3" s="1">
        <v>18</v>
      </c>
      <c r="G3" s="1">
        <v>12</v>
      </c>
      <c r="H3" s="1">
        <v>1</v>
      </c>
      <c r="I3" s="1">
        <v>0</v>
      </c>
      <c r="J3" s="1">
        <v>0</v>
      </c>
      <c r="K3" s="1">
        <v>0</v>
      </c>
      <c r="L3" s="1">
        <f>SUM(E3:H3)</f>
        <v>113</v>
      </c>
      <c r="M3" s="1">
        <f t="shared" si="0"/>
        <v>23.600668337510442</v>
      </c>
      <c r="N3" s="1">
        <f t="shared" ref="N3:N11" si="1">M3/10</f>
        <v>2.360066833751044</v>
      </c>
    </row>
    <row r="4" spans="1:14" x14ac:dyDescent="0.2">
      <c r="A4" t="s">
        <v>23</v>
      </c>
      <c r="B4" s="1" t="s">
        <v>9</v>
      </c>
      <c r="C4" s="1">
        <v>3</v>
      </c>
      <c r="D4" s="1">
        <v>3.4609999999999999</v>
      </c>
      <c r="E4" s="1">
        <v>38</v>
      </c>
      <c r="F4" s="1">
        <v>3</v>
      </c>
      <c r="G4" s="1">
        <v>0</v>
      </c>
      <c r="H4" s="1">
        <v>5</v>
      </c>
      <c r="I4" s="1">
        <v>1</v>
      </c>
      <c r="J4" s="1">
        <v>0</v>
      </c>
      <c r="K4" s="1">
        <v>0</v>
      </c>
      <c r="L4" s="1">
        <f>SUM(E4:I4)</f>
        <v>47</v>
      </c>
      <c r="M4" s="1">
        <f t="shared" si="0"/>
        <v>13.579890205143023</v>
      </c>
      <c r="N4" s="1">
        <f t="shared" si="1"/>
        <v>1.3579890205143024</v>
      </c>
    </row>
    <row r="5" spans="1:14" x14ac:dyDescent="0.2">
      <c r="A5" t="s">
        <v>23</v>
      </c>
      <c r="B5" s="1" t="s">
        <v>10</v>
      </c>
      <c r="C5" s="1">
        <v>4</v>
      </c>
      <c r="D5" s="1">
        <v>4.8869999999999996</v>
      </c>
      <c r="E5" s="1">
        <v>65</v>
      </c>
      <c r="F5" s="1">
        <v>17</v>
      </c>
      <c r="G5" s="1">
        <v>0</v>
      </c>
      <c r="H5" s="1">
        <v>0</v>
      </c>
      <c r="I5" s="1">
        <v>0</v>
      </c>
      <c r="J5" s="1">
        <v>1</v>
      </c>
      <c r="K5" s="1">
        <v>0</v>
      </c>
      <c r="L5" s="1">
        <f t="shared" ref="L5:L11" si="2">SUM(E5:J5)</f>
        <v>83</v>
      </c>
      <c r="M5" s="1">
        <f t="shared" si="0"/>
        <v>16.983834663392678</v>
      </c>
      <c r="N5" s="1">
        <f t="shared" si="1"/>
        <v>1.6983834663392678</v>
      </c>
    </row>
    <row r="6" spans="1:14" x14ac:dyDescent="0.2">
      <c r="A6" t="s">
        <v>23</v>
      </c>
      <c r="B6" s="1" t="s">
        <v>11</v>
      </c>
      <c r="C6" s="1">
        <v>5</v>
      </c>
      <c r="D6" s="1">
        <v>4.8070000000000004</v>
      </c>
      <c r="E6" s="1">
        <v>90</v>
      </c>
      <c r="F6" s="1">
        <v>17</v>
      </c>
      <c r="G6" s="1">
        <v>0</v>
      </c>
      <c r="H6" s="1">
        <v>0</v>
      </c>
      <c r="I6" s="1">
        <v>0</v>
      </c>
      <c r="J6" s="1">
        <v>1</v>
      </c>
      <c r="K6" s="1">
        <v>0</v>
      </c>
      <c r="L6" s="1">
        <f t="shared" si="2"/>
        <v>108</v>
      </c>
      <c r="M6" s="1">
        <f t="shared" si="0"/>
        <v>22.46723528188059</v>
      </c>
      <c r="N6" s="1">
        <f t="shared" si="1"/>
        <v>2.2467235281880589</v>
      </c>
    </row>
    <row r="7" spans="1:14" x14ac:dyDescent="0.2">
      <c r="A7" t="s">
        <v>23</v>
      </c>
      <c r="B7" s="1" t="s">
        <v>12</v>
      </c>
      <c r="C7" s="1">
        <v>6</v>
      </c>
      <c r="D7" s="1">
        <v>4.0739999999999998</v>
      </c>
      <c r="E7" s="1">
        <v>87</v>
      </c>
      <c r="F7" s="1">
        <v>30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f t="shared" si="2"/>
        <v>117</v>
      </c>
      <c r="M7" s="1">
        <f t="shared" si="0"/>
        <v>28.718703976435936</v>
      </c>
      <c r="N7" s="1">
        <f t="shared" si="1"/>
        <v>2.8718703976435935</v>
      </c>
    </row>
    <row r="8" spans="1:14" x14ac:dyDescent="0.2">
      <c r="A8" t="s">
        <v>23</v>
      </c>
      <c r="B8" s="1" t="s">
        <v>13</v>
      </c>
      <c r="C8" s="1">
        <v>7</v>
      </c>
      <c r="D8" s="1">
        <v>4.5659999999999998</v>
      </c>
      <c r="E8" s="1">
        <v>75</v>
      </c>
      <c r="F8" s="1">
        <v>24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f t="shared" si="2"/>
        <v>99</v>
      </c>
      <c r="M8" s="1">
        <f t="shared" si="0"/>
        <v>21.681997371879106</v>
      </c>
      <c r="N8" s="1">
        <f t="shared" si="1"/>
        <v>2.1681997371879107</v>
      </c>
    </row>
    <row r="9" spans="1:14" x14ac:dyDescent="0.2">
      <c r="A9" t="s">
        <v>23</v>
      </c>
      <c r="B9" s="1" t="s">
        <v>14</v>
      </c>
      <c r="C9" s="1">
        <v>8</v>
      </c>
      <c r="D9" s="1">
        <v>4.758</v>
      </c>
      <c r="E9" s="1">
        <v>92</v>
      </c>
      <c r="F9" s="1">
        <v>29</v>
      </c>
      <c r="G9" s="1">
        <v>1</v>
      </c>
      <c r="H9" s="1">
        <v>0</v>
      </c>
      <c r="I9" s="1">
        <v>0</v>
      </c>
      <c r="J9" s="1">
        <v>1</v>
      </c>
      <c r="K9" s="1">
        <v>0</v>
      </c>
      <c r="L9" s="1">
        <f t="shared" si="2"/>
        <v>123</v>
      </c>
      <c r="M9" s="1">
        <f t="shared" si="0"/>
        <v>25.851197982345525</v>
      </c>
      <c r="N9" s="1">
        <f t="shared" si="1"/>
        <v>2.5851197982345524</v>
      </c>
    </row>
    <row r="10" spans="1:14" x14ac:dyDescent="0.2">
      <c r="A10" t="s">
        <v>23</v>
      </c>
      <c r="B10" s="1" t="s">
        <v>15</v>
      </c>
      <c r="C10" s="1">
        <v>9</v>
      </c>
      <c r="D10" s="1">
        <v>8.6180000000000003</v>
      </c>
      <c r="E10" s="1">
        <v>117</v>
      </c>
      <c r="F10" s="1">
        <v>69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f t="shared" si="2"/>
        <v>186</v>
      </c>
      <c r="M10" s="1">
        <f t="shared" si="0"/>
        <v>21.582733812949641</v>
      </c>
      <c r="N10" s="1">
        <f t="shared" si="1"/>
        <v>2.1582733812949639</v>
      </c>
    </row>
    <row r="11" spans="1:14" x14ac:dyDescent="0.2">
      <c r="A11" t="s">
        <v>23</v>
      </c>
      <c r="B11" s="1" t="s">
        <v>16</v>
      </c>
      <c r="C11" s="1">
        <v>10</v>
      </c>
      <c r="D11" s="1">
        <v>5.4859999999999998</v>
      </c>
      <c r="E11" s="1">
        <v>110</v>
      </c>
      <c r="F11" s="1">
        <v>18</v>
      </c>
      <c r="G11" s="1">
        <v>0</v>
      </c>
      <c r="H11" s="1">
        <v>0</v>
      </c>
      <c r="I11" s="1">
        <v>0</v>
      </c>
      <c r="J11" s="1">
        <v>1</v>
      </c>
      <c r="K11" s="1">
        <v>1</v>
      </c>
      <c r="L11" s="1">
        <f t="shared" si="2"/>
        <v>129</v>
      </c>
      <c r="M11" s="1">
        <f t="shared" si="0"/>
        <v>23.514400291651476</v>
      </c>
      <c r="N11" s="1">
        <f t="shared" si="1"/>
        <v>2.3514400291651478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2024-06-17T13:01:32Z</dcterms:created>
  <dcterms:modified xsi:type="dcterms:W3CDTF">2024-06-18T09:32:21Z</dcterms:modified>
</cp:coreProperties>
</file>