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wnloads/Okeanos Alaska Video Analysis/R Analysis/Okeanos-Video-Analysis/raw_data/garden densities/"/>
    </mc:Choice>
  </mc:AlternateContent>
  <xr:revisionPtr revIDLastSave="0" documentId="13_ncr:1_{F479B2CF-7D3A-A444-AE22-A12C04100E46}" xr6:coauthVersionLast="47" xr6:coauthVersionMax="47" xr10:uidLastSave="{00000000-0000-0000-0000-000000000000}"/>
  <bookViews>
    <workbookView xWindow="880" yWindow="1520" windowWidth="22180" windowHeight="18040" xr2:uid="{5F83DC87-46B5-9047-A834-376093B06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" l="1"/>
  <c r="V11" i="1" s="1"/>
  <c r="W11" i="1" s="1"/>
  <c r="U10" i="1"/>
  <c r="V10" i="1" s="1"/>
  <c r="W10" i="1" s="1"/>
  <c r="U9" i="1"/>
  <c r="V9" i="1" s="1"/>
  <c r="W9" i="1" s="1"/>
  <c r="U8" i="1"/>
  <c r="V8" i="1" s="1"/>
  <c r="W8" i="1" s="1"/>
  <c r="U7" i="1"/>
  <c r="V7" i="1" s="1"/>
  <c r="W7" i="1" s="1"/>
  <c r="U6" i="1"/>
  <c r="V6" i="1" s="1"/>
  <c r="W6" i="1" s="1"/>
  <c r="U5" i="1"/>
  <c r="V5" i="1" s="1"/>
  <c r="W5" i="1" s="1"/>
  <c r="U4" i="1"/>
  <c r="V4" i="1" s="1"/>
  <c r="W4" i="1" s="1"/>
  <c r="U3" i="1"/>
  <c r="V3" i="1" s="1"/>
  <c r="W3" i="1" s="1"/>
  <c r="U2" i="1"/>
  <c r="V2" i="1" s="1"/>
  <c r="W2" i="1" s="1"/>
</calcChain>
</file>

<file path=xl/sharedStrings.xml><?xml version="1.0" encoding="utf-8"?>
<sst xmlns="http://schemas.openxmlformats.org/spreadsheetml/2006/main" count="43" uniqueCount="34">
  <si>
    <t>CAH02</t>
  </si>
  <si>
    <t>frame_id</t>
  </si>
  <si>
    <t>frame_no</t>
  </si>
  <si>
    <t>area_squared</t>
  </si>
  <si>
    <t>total_ind</t>
  </si>
  <si>
    <t>density_per_m_squared</t>
  </si>
  <si>
    <t>density_per_10m_squared</t>
  </si>
  <si>
    <t>CAO18</t>
  </si>
  <si>
    <t>PH10</t>
  </si>
  <si>
    <t>PD18</t>
  </si>
  <si>
    <t>CAO58</t>
  </si>
  <si>
    <t>CAO43</t>
  </si>
  <si>
    <t>CAO36</t>
  </si>
  <si>
    <t>PD05</t>
  </si>
  <si>
    <t>1_220228</t>
  </si>
  <si>
    <t>2_220940</t>
  </si>
  <si>
    <t>3_221347</t>
  </si>
  <si>
    <t>4_221905</t>
  </si>
  <si>
    <t>5_222621</t>
  </si>
  <si>
    <t>6_223233</t>
  </si>
  <si>
    <t>7_224327</t>
  </si>
  <si>
    <t>8_224430</t>
  </si>
  <si>
    <t>9_224628</t>
  </si>
  <si>
    <t>10_223200</t>
  </si>
  <si>
    <t>PH47</t>
  </si>
  <si>
    <t>PH41</t>
  </si>
  <si>
    <t>PH43</t>
  </si>
  <si>
    <t>PH40</t>
  </si>
  <si>
    <t>CAO65</t>
  </si>
  <si>
    <t>PH55</t>
  </si>
  <si>
    <t>PH58</t>
  </si>
  <si>
    <t>PH04</t>
  </si>
  <si>
    <t>garden_id</t>
  </si>
  <si>
    <t>2306-18A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</si>
</sst>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2590-BBEB-D44F-AF92-9E9883EEE43A}">
  <dimension ref="A1:AF11"/>
  <sheetViews>
    <sheetView tabSelected="1" zoomScale="120" zoomScaleNormal="120" workbookViewId="0">
      <selection activeCell="B16" sqref="B16"/>
    </sheetView>
  </sheetViews>
  <sheetFormatPr baseColWidth="10" defaultRowHeight="16" x14ac:dyDescent="0.2"/>
  <cols>
    <col min="2" max="2" width="13.5" customWidth="1"/>
    <col min="3" max="3" width="8.1640625" customWidth="1"/>
    <col min="4" max="4" width="14.33203125" customWidth="1"/>
    <col min="10" max="11" width="8.5" customWidth="1"/>
    <col min="19" max="19" width="10.5" customWidth="1"/>
    <col min="20" max="20" width="7.83203125" customWidth="1"/>
  </cols>
  <sheetData>
    <row r="1" spans="1:32" x14ac:dyDescent="0.2">
      <c r="A1" t="s">
        <v>32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7</v>
      </c>
      <c r="K1" s="1" t="s">
        <v>28</v>
      </c>
      <c r="L1" s="1" t="s">
        <v>31</v>
      </c>
      <c r="M1" s="1" t="s">
        <v>9</v>
      </c>
      <c r="N1" s="1" t="s">
        <v>0</v>
      </c>
      <c r="O1" s="1" t="s">
        <v>12</v>
      </c>
      <c r="P1" s="1" t="s">
        <v>10</v>
      </c>
      <c r="Q1" s="1" t="s">
        <v>13</v>
      </c>
      <c r="R1" s="1" t="s">
        <v>29</v>
      </c>
      <c r="S1" s="1" t="s">
        <v>11</v>
      </c>
      <c r="T1" s="1" t="s">
        <v>30</v>
      </c>
      <c r="U1" s="1" t="s">
        <v>4</v>
      </c>
      <c r="V1" s="1" t="s">
        <v>5</v>
      </c>
      <c r="W1" s="1" t="s">
        <v>6</v>
      </c>
      <c r="X1" s="1"/>
      <c r="Y1" s="1"/>
      <c r="Z1" s="1"/>
      <c r="AA1" s="1"/>
      <c r="AB1" s="1"/>
      <c r="AD1" s="1"/>
      <c r="AE1" s="1"/>
      <c r="AF1" s="1"/>
    </row>
    <row r="2" spans="1:32" x14ac:dyDescent="0.2">
      <c r="A2" t="s">
        <v>33</v>
      </c>
      <c r="B2" t="s">
        <v>14</v>
      </c>
      <c r="C2">
        <v>1</v>
      </c>
      <c r="D2">
        <v>8.5370000000000008</v>
      </c>
      <c r="E2">
        <v>0</v>
      </c>
      <c r="F2">
        <v>3</v>
      </c>
      <c r="G2">
        <v>0</v>
      </c>
      <c r="H2">
        <v>0</v>
      </c>
      <c r="I2">
        <v>9</v>
      </c>
      <c r="J2">
        <v>1</v>
      </c>
      <c r="K2">
        <v>2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f>SUM(E2:L2)</f>
        <v>16</v>
      </c>
      <c r="V2">
        <f t="shared" ref="V2:V11" si="0">U2/D2</f>
        <v>1.8741946819725896</v>
      </c>
      <c r="W2">
        <f t="shared" ref="W2:W11" si="1">V2/10</f>
        <v>0.18741946819725896</v>
      </c>
    </row>
    <row r="3" spans="1:32" x14ac:dyDescent="0.2">
      <c r="A3" t="s">
        <v>33</v>
      </c>
      <c r="B3" t="s">
        <v>15</v>
      </c>
      <c r="C3">
        <v>2</v>
      </c>
      <c r="D3">
        <v>11.212999999999999</v>
      </c>
      <c r="E3">
        <v>9</v>
      </c>
      <c r="F3">
        <v>6</v>
      </c>
      <c r="G3">
        <v>0</v>
      </c>
      <c r="H3">
        <v>0</v>
      </c>
      <c r="I3">
        <v>8</v>
      </c>
      <c r="J3">
        <v>2</v>
      </c>
      <c r="K3">
        <v>2</v>
      </c>
      <c r="L3">
        <v>0</v>
      </c>
      <c r="M3">
        <v>6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f>SUM(E3:N3)</f>
        <v>36</v>
      </c>
      <c r="V3">
        <f t="shared" si="0"/>
        <v>3.2105591723891913</v>
      </c>
      <c r="W3">
        <f t="shared" si="1"/>
        <v>0.32105591723891913</v>
      </c>
    </row>
    <row r="4" spans="1:32" x14ac:dyDescent="0.2">
      <c r="A4" t="s">
        <v>33</v>
      </c>
      <c r="B4" t="s">
        <v>16</v>
      </c>
      <c r="C4">
        <v>3</v>
      </c>
      <c r="D4">
        <v>12.734</v>
      </c>
      <c r="E4">
        <v>7</v>
      </c>
      <c r="F4">
        <v>7</v>
      </c>
      <c r="G4">
        <v>2</v>
      </c>
      <c r="H4">
        <v>0</v>
      </c>
      <c r="I4">
        <v>6</v>
      </c>
      <c r="J4">
        <v>4</v>
      </c>
      <c r="K4">
        <v>1</v>
      </c>
      <c r="L4">
        <v>0</v>
      </c>
      <c r="M4">
        <v>2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f>SUM(E4:N4)</f>
        <v>30</v>
      </c>
      <c r="V4">
        <f t="shared" si="0"/>
        <v>2.3558975969844509</v>
      </c>
      <c r="W4">
        <f t="shared" si="1"/>
        <v>0.23558975969844509</v>
      </c>
    </row>
    <row r="5" spans="1:32" x14ac:dyDescent="0.2">
      <c r="A5" t="s">
        <v>33</v>
      </c>
      <c r="B5" t="s">
        <v>17</v>
      </c>
      <c r="C5">
        <v>4</v>
      </c>
      <c r="D5">
        <v>18.363</v>
      </c>
      <c r="E5">
        <v>10</v>
      </c>
      <c r="F5">
        <v>1</v>
      </c>
      <c r="G5">
        <v>0</v>
      </c>
      <c r="H5">
        <v>0</v>
      </c>
      <c r="I5">
        <v>13</v>
      </c>
      <c r="J5">
        <v>2</v>
      </c>
      <c r="K5">
        <v>10</v>
      </c>
      <c r="L5">
        <v>0</v>
      </c>
      <c r="M5">
        <v>2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f>SUM(E5:N5)</f>
        <v>40</v>
      </c>
      <c r="V5">
        <f t="shared" si="0"/>
        <v>2.1782933071938135</v>
      </c>
      <c r="W5">
        <f t="shared" si="1"/>
        <v>0.21782933071938135</v>
      </c>
    </row>
    <row r="6" spans="1:32" x14ac:dyDescent="0.2">
      <c r="A6" t="s">
        <v>33</v>
      </c>
      <c r="B6" t="s">
        <v>18</v>
      </c>
      <c r="C6">
        <v>5</v>
      </c>
      <c r="D6">
        <v>13.938000000000001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55</v>
      </c>
      <c r="P6">
        <v>4</v>
      </c>
      <c r="Q6">
        <v>10</v>
      </c>
      <c r="R6">
        <v>0</v>
      </c>
      <c r="S6">
        <v>0</v>
      </c>
      <c r="T6">
        <v>0</v>
      </c>
      <c r="U6">
        <f>SUM(E6:Q6)</f>
        <v>70</v>
      </c>
      <c r="V6">
        <f t="shared" si="0"/>
        <v>5.0222413545702391</v>
      </c>
      <c r="W6">
        <f t="shared" si="1"/>
        <v>0.50222413545702393</v>
      </c>
    </row>
    <row r="7" spans="1:32" x14ac:dyDescent="0.2">
      <c r="A7" t="s">
        <v>33</v>
      </c>
      <c r="B7" t="s">
        <v>19</v>
      </c>
      <c r="C7">
        <v>6</v>
      </c>
      <c r="D7">
        <v>19.431999999999999</v>
      </c>
      <c r="E7">
        <v>2</v>
      </c>
      <c r="F7">
        <v>1</v>
      </c>
      <c r="G7">
        <v>0</v>
      </c>
      <c r="H7">
        <v>0</v>
      </c>
      <c r="I7">
        <v>13</v>
      </c>
      <c r="J7">
        <v>0</v>
      </c>
      <c r="K7">
        <v>5</v>
      </c>
      <c r="L7">
        <v>0</v>
      </c>
      <c r="M7">
        <v>4</v>
      </c>
      <c r="N7">
        <v>0</v>
      </c>
      <c r="O7">
        <v>3</v>
      </c>
      <c r="P7">
        <v>1</v>
      </c>
      <c r="Q7">
        <v>0</v>
      </c>
      <c r="R7">
        <v>0</v>
      </c>
      <c r="S7">
        <v>0</v>
      </c>
      <c r="T7">
        <v>0</v>
      </c>
      <c r="U7">
        <f>SUM(E7:Q7)</f>
        <v>29</v>
      </c>
      <c r="V7">
        <f t="shared" si="0"/>
        <v>1.492383696994648</v>
      </c>
      <c r="W7">
        <f t="shared" si="1"/>
        <v>0.1492383696994648</v>
      </c>
    </row>
    <row r="8" spans="1:32" x14ac:dyDescent="0.2">
      <c r="A8" t="s">
        <v>33</v>
      </c>
      <c r="B8" t="s">
        <v>20</v>
      </c>
      <c r="C8">
        <v>7</v>
      </c>
      <c r="D8">
        <v>8.516</v>
      </c>
      <c r="E8">
        <v>3</v>
      </c>
      <c r="F8">
        <v>2</v>
      </c>
      <c r="G8">
        <v>1</v>
      </c>
      <c r="H8">
        <v>5</v>
      </c>
      <c r="I8">
        <v>1</v>
      </c>
      <c r="J8">
        <v>0</v>
      </c>
      <c r="K8">
        <v>2</v>
      </c>
      <c r="L8">
        <v>0</v>
      </c>
      <c r="M8">
        <v>3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f>SUM(E8:R8)</f>
        <v>19</v>
      </c>
      <c r="V8">
        <f t="shared" si="0"/>
        <v>2.2310944105213717</v>
      </c>
      <c r="W8">
        <f t="shared" si="1"/>
        <v>0.22310944105213718</v>
      </c>
    </row>
    <row r="9" spans="1:32" x14ac:dyDescent="0.2">
      <c r="A9" t="s">
        <v>33</v>
      </c>
      <c r="B9" t="s">
        <v>21</v>
      </c>
      <c r="C9">
        <v>8</v>
      </c>
      <c r="D9">
        <v>8.9540000000000006</v>
      </c>
      <c r="E9">
        <v>7</v>
      </c>
      <c r="F9">
        <v>3</v>
      </c>
      <c r="G9">
        <v>1</v>
      </c>
      <c r="H9">
        <v>0</v>
      </c>
      <c r="I9">
        <v>2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f>SUM(E9:T9)</f>
        <v>17</v>
      </c>
      <c r="V9">
        <f t="shared" si="0"/>
        <v>1.8985928076837166</v>
      </c>
      <c r="W9">
        <f t="shared" si="1"/>
        <v>0.18985928076837166</v>
      </c>
    </row>
    <row r="10" spans="1:32" x14ac:dyDescent="0.2">
      <c r="A10" t="s">
        <v>33</v>
      </c>
      <c r="B10" t="s">
        <v>22</v>
      </c>
      <c r="C10">
        <v>9</v>
      </c>
      <c r="D10">
        <v>6.7619999999999996</v>
      </c>
      <c r="E10">
        <v>2</v>
      </c>
      <c r="F10">
        <v>2</v>
      </c>
      <c r="G10">
        <v>3</v>
      </c>
      <c r="H10">
        <v>2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1</v>
      </c>
      <c r="R10">
        <v>1</v>
      </c>
      <c r="S10">
        <v>0</v>
      </c>
      <c r="T10">
        <v>0</v>
      </c>
      <c r="U10">
        <f>SUM(E10:R10)</f>
        <v>17</v>
      </c>
      <c r="V10">
        <f t="shared" si="0"/>
        <v>2.5140490979000298</v>
      </c>
      <c r="W10">
        <f t="shared" si="1"/>
        <v>0.25140490979000296</v>
      </c>
    </row>
    <row r="11" spans="1:32" x14ac:dyDescent="0.2">
      <c r="A11" t="s">
        <v>33</v>
      </c>
      <c r="B11" t="s">
        <v>23</v>
      </c>
      <c r="C11">
        <v>10</v>
      </c>
      <c r="D11">
        <v>10.574</v>
      </c>
      <c r="E11">
        <v>1</v>
      </c>
      <c r="F11">
        <v>0</v>
      </c>
      <c r="G11">
        <v>1</v>
      </c>
      <c r="H11">
        <v>0</v>
      </c>
      <c r="I11">
        <v>3</v>
      </c>
      <c r="J11">
        <v>0</v>
      </c>
      <c r="K11">
        <v>0</v>
      </c>
      <c r="L11">
        <v>0</v>
      </c>
      <c r="M11">
        <v>0</v>
      </c>
      <c r="N11">
        <v>7</v>
      </c>
      <c r="O11">
        <v>5</v>
      </c>
      <c r="P11">
        <v>1</v>
      </c>
      <c r="Q11">
        <v>4</v>
      </c>
      <c r="R11">
        <v>2</v>
      </c>
      <c r="S11">
        <v>1</v>
      </c>
      <c r="T11">
        <v>0</v>
      </c>
      <c r="U11">
        <f>SUM(E11:R11)</f>
        <v>24</v>
      </c>
      <c r="V11">
        <f t="shared" si="0"/>
        <v>2.2697181766597314</v>
      </c>
      <c r="W11">
        <f t="shared" si="1"/>
        <v>0.22697181766597313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2024-06-17T13:01:32Z</dcterms:created>
  <dcterms:modified xsi:type="dcterms:W3CDTF">2024-06-18T09:35:15Z</dcterms:modified>
</cp:coreProperties>
</file>