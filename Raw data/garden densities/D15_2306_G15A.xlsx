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a/Downloads/Okeanos Alaska Video Analysis/R Analysis/Okeanos-Video-Analysis/raw_data/garden densities/"/>
    </mc:Choice>
  </mc:AlternateContent>
  <xr:revisionPtr revIDLastSave="0" documentId="13_ncr:1_{ABB579EE-C629-9F4D-80DC-61AAEA0AF62E}" xr6:coauthVersionLast="47" xr6:coauthVersionMax="47" xr10:uidLastSave="{00000000-0000-0000-0000-000000000000}"/>
  <bookViews>
    <workbookView xWindow="8480" yWindow="3120" windowWidth="22180" windowHeight="18040" xr2:uid="{5F83DC87-46B5-9047-A834-376093B067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1" l="1"/>
  <c r="T11" i="1" s="1"/>
  <c r="U11" i="1" s="1"/>
  <c r="S10" i="1"/>
  <c r="T10" i="1" s="1"/>
  <c r="U10" i="1" s="1"/>
  <c r="S9" i="1"/>
  <c r="T9" i="1" s="1"/>
  <c r="U9" i="1" s="1"/>
  <c r="S8" i="1"/>
  <c r="T8" i="1" s="1"/>
  <c r="U8" i="1" s="1"/>
  <c r="S7" i="1"/>
  <c r="T7" i="1" s="1"/>
  <c r="U7" i="1" s="1"/>
  <c r="S6" i="1"/>
  <c r="T6" i="1" s="1"/>
  <c r="U6" i="1" s="1"/>
  <c r="S5" i="1"/>
  <c r="T5" i="1" s="1"/>
  <c r="U5" i="1" s="1"/>
  <c r="S4" i="1"/>
  <c r="T4" i="1" s="1"/>
  <c r="U4" i="1" s="1"/>
  <c r="S3" i="1"/>
  <c r="T3" i="1" s="1"/>
  <c r="U3" i="1" s="1"/>
  <c r="S2" i="1"/>
  <c r="T2" i="1" s="1"/>
  <c r="U2" i="1" s="1"/>
</calcChain>
</file>

<file path=xl/sharedStrings.xml><?xml version="1.0" encoding="utf-8"?>
<sst xmlns="http://schemas.openxmlformats.org/spreadsheetml/2006/main" count="41" uniqueCount="32">
  <si>
    <t>CAO02</t>
  </si>
  <si>
    <t>CAH02</t>
  </si>
  <si>
    <t>frame_id</t>
  </si>
  <si>
    <t>frame_no</t>
  </si>
  <si>
    <t>area_squared</t>
  </si>
  <si>
    <t>total_ind</t>
  </si>
  <si>
    <t>density_per_m_squared</t>
  </si>
  <si>
    <t>density_per_10m_squared</t>
  </si>
  <si>
    <t>CAH09</t>
  </si>
  <si>
    <t>CAO58</t>
  </si>
  <si>
    <t>PH36</t>
  </si>
  <si>
    <t>CAO43</t>
  </si>
  <si>
    <t>CAO36</t>
  </si>
  <si>
    <t>CAO41</t>
  </si>
  <si>
    <t>PH38</t>
  </si>
  <si>
    <t>PD05</t>
  </si>
  <si>
    <t>CAH18</t>
  </si>
  <si>
    <t>CAO13</t>
  </si>
  <si>
    <t>CAO27</t>
  </si>
  <si>
    <t>1_EX2306_Dive15 Middleton Canyon_20230910T200340.000Z-001</t>
  </si>
  <si>
    <t>2_EX2306_Dive15 Middleton Canyon_20230910T202410.000Z-001</t>
  </si>
  <si>
    <t>3_EX2306_Dive15 Middleton Canyon_20230910T203735.000Z-001</t>
  </si>
  <si>
    <t>4_EX2306_Dive15 Middleton Canyon_20230910T205500.000Z-001</t>
  </si>
  <si>
    <t>5_EX2306_Dive15 Middleton Canyon_20230910T212710.000Z-001</t>
  </si>
  <si>
    <t>6_EX2306_Dive15 Middleton Canyon_20230910T213925.000Z-001</t>
  </si>
  <si>
    <t>7_EX2306_Dive15 Middleton Canyon_20230910T215955.000Z-001</t>
  </si>
  <si>
    <t>8_EX2306_Dive15 Middleton Canyon_20230910T221630.000Z-001</t>
  </si>
  <si>
    <t>9_EX2306_Dive15 Middleton Canyon_20230910T223920.000Z-001</t>
  </si>
  <si>
    <t>10_EX2306_Dive15 Middleton Canyon_20230910T230005.000Z-001</t>
  </si>
  <si>
    <t>CAO10</t>
  </si>
  <si>
    <t>garden_id</t>
  </si>
  <si>
    <t>2306-15A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</si>
</sst>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2590-BBEB-D44F-AF92-9E9883EEE43A}">
  <dimension ref="A1:AD11"/>
  <sheetViews>
    <sheetView tabSelected="1" zoomScale="120" zoomScaleNormal="120" workbookViewId="0">
      <selection activeCell="B15" sqref="B15"/>
    </sheetView>
  </sheetViews>
  <sheetFormatPr baseColWidth="10" defaultRowHeight="16" x14ac:dyDescent="0.2"/>
  <cols>
    <col min="2" max="2" width="13.5" customWidth="1"/>
    <col min="3" max="3" width="8.1640625" customWidth="1"/>
    <col min="4" max="4" width="14.33203125" customWidth="1"/>
    <col min="10" max="11" width="8.5" customWidth="1"/>
    <col min="19" max="19" width="10.5" customWidth="1"/>
  </cols>
  <sheetData>
    <row r="1" spans="1:30" x14ac:dyDescent="0.2">
      <c r="A1" t="s">
        <v>30</v>
      </c>
      <c r="B1" s="1" t="s">
        <v>2</v>
      </c>
      <c r="C1" s="1" t="s">
        <v>3</v>
      </c>
      <c r="D1" s="1" t="s">
        <v>4</v>
      </c>
      <c r="E1" s="1" t="s">
        <v>0</v>
      </c>
      <c r="F1" s="1" t="s">
        <v>1</v>
      </c>
      <c r="G1" s="1" t="s">
        <v>8</v>
      </c>
      <c r="H1" s="1" t="s">
        <v>29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5</v>
      </c>
      <c r="T1" s="1" t="s">
        <v>6</v>
      </c>
      <c r="U1" s="1" t="s">
        <v>7</v>
      </c>
      <c r="V1" s="1"/>
      <c r="W1" s="1"/>
      <c r="X1" s="1"/>
      <c r="Y1" s="1"/>
      <c r="Z1" s="1"/>
      <c r="AB1" s="1"/>
      <c r="AC1" s="1"/>
      <c r="AD1" s="1"/>
    </row>
    <row r="2" spans="1:30" x14ac:dyDescent="0.2">
      <c r="A2" t="s">
        <v>31</v>
      </c>
      <c r="B2" t="s">
        <v>19</v>
      </c>
      <c r="C2">
        <v>1</v>
      </c>
      <c r="D2">
        <v>3.625</v>
      </c>
      <c r="E2">
        <v>1</v>
      </c>
      <c r="F2">
        <v>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f>SUM(E2:K2)</f>
        <v>6</v>
      </c>
      <c r="T2">
        <f t="shared" ref="T2:T11" si="0">S2/D2</f>
        <v>1.6551724137931034</v>
      </c>
      <c r="U2">
        <f t="shared" ref="U2:U11" si="1">T2/10</f>
        <v>0.16551724137931034</v>
      </c>
    </row>
    <row r="3" spans="1:30" x14ac:dyDescent="0.2">
      <c r="A3" t="s">
        <v>31</v>
      </c>
      <c r="B3" t="s">
        <v>20</v>
      </c>
      <c r="C3">
        <v>2</v>
      </c>
      <c r="D3">
        <v>4.782</v>
      </c>
      <c r="E3">
        <v>0</v>
      </c>
      <c r="F3">
        <v>6</v>
      </c>
      <c r="G3">
        <v>2</v>
      </c>
      <c r="H3">
        <v>1</v>
      </c>
      <c r="I3">
        <v>1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f>SUM(E3:K3)</f>
        <v>12</v>
      </c>
      <c r="T3">
        <f t="shared" si="0"/>
        <v>2.509410288582183</v>
      </c>
      <c r="U3">
        <f t="shared" si="1"/>
        <v>0.25094102885821828</v>
      </c>
    </row>
    <row r="4" spans="1:30" x14ac:dyDescent="0.2">
      <c r="A4" t="s">
        <v>31</v>
      </c>
      <c r="B4" t="s">
        <v>21</v>
      </c>
      <c r="C4">
        <v>3</v>
      </c>
      <c r="D4">
        <v>5.016</v>
      </c>
      <c r="E4">
        <v>3</v>
      </c>
      <c r="F4">
        <v>2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f>SUM(E4:L4)</f>
        <v>7</v>
      </c>
      <c r="T4">
        <f t="shared" si="0"/>
        <v>1.3955342902711323</v>
      </c>
      <c r="U4">
        <f t="shared" si="1"/>
        <v>0.13955342902711323</v>
      </c>
    </row>
    <row r="5" spans="1:30" x14ac:dyDescent="0.2">
      <c r="A5" t="s">
        <v>31</v>
      </c>
      <c r="B5" t="s">
        <v>22</v>
      </c>
      <c r="C5">
        <v>4</v>
      </c>
      <c r="D5">
        <v>13.294</v>
      </c>
      <c r="E5">
        <v>1</v>
      </c>
      <c r="F5">
        <v>10</v>
      </c>
      <c r="G5">
        <v>1</v>
      </c>
      <c r="H5">
        <v>0</v>
      </c>
      <c r="I5">
        <v>1</v>
      </c>
      <c r="J5">
        <v>0</v>
      </c>
      <c r="K5">
        <v>0</v>
      </c>
      <c r="L5">
        <v>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f>SUM(E5:L5)</f>
        <v>17</v>
      </c>
      <c r="T5">
        <f t="shared" si="0"/>
        <v>1.2787723785166241</v>
      </c>
      <c r="U5">
        <f t="shared" si="1"/>
        <v>0.12787723785166241</v>
      </c>
    </row>
    <row r="6" spans="1:30" x14ac:dyDescent="0.2">
      <c r="A6" t="s">
        <v>31</v>
      </c>
      <c r="B6" t="s">
        <v>23</v>
      </c>
      <c r="C6">
        <v>5</v>
      </c>
      <c r="D6">
        <v>2.0219999999999998</v>
      </c>
      <c r="E6">
        <v>0</v>
      </c>
      <c r="F6">
        <v>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f>SUM(E6:L6)</f>
        <v>7</v>
      </c>
      <c r="T6">
        <f t="shared" si="0"/>
        <v>3.4619188921859547</v>
      </c>
      <c r="U6">
        <f t="shared" si="1"/>
        <v>0.34619188921859545</v>
      </c>
    </row>
    <row r="7" spans="1:30" x14ac:dyDescent="0.2">
      <c r="A7" t="s">
        <v>31</v>
      </c>
      <c r="B7" t="s">
        <v>24</v>
      </c>
      <c r="C7">
        <v>6</v>
      </c>
      <c r="D7">
        <v>3.38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1</v>
      </c>
      <c r="L7">
        <v>2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f>SUM(E7:M7)</f>
        <v>7</v>
      </c>
      <c r="T7">
        <f t="shared" si="0"/>
        <v>2.0710059171597632</v>
      </c>
      <c r="U7">
        <f t="shared" si="1"/>
        <v>0.20710059171597633</v>
      </c>
    </row>
    <row r="8" spans="1:30" x14ac:dyDescent="0.2">
      <c r="A8" t="s">
        <v>31</v>
      </c>
      <c r="B8" t="s">
        <v>25</v>
      </c>
      <c r="C8">
        <v>7</v>
      </c>
      <c r="D8">
        <v>2.6629999999999998</v>
      </c>
      <c r="E8">
        <v>0</v>
      </c>
      <c r="F8">
        <v>3</v>
      </c>
      <c r="G8">
        <v>0</v>
      </c>
      <c r="H8">
        <v>1</v>
      </c>
      <c r="I8">
        <v>0</v>
      </c>
      <c r="J8">
        <v>0</v>
      </c>
      <c r="K8">
        <v>1</v>
      </c>
      <c r="L8">
        <v>1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f>SUM(E8:O8)</f>
        <v>8</v>
      </c>
      <c r="T8">
        <f t="shared" si="0"/>
        <v>3.0041306796845664</v>
      </c>
      <c r="U8">
        <f t="shared" si="1"/>
        <v>0.30041306796845663</v>
      </c>
    </row>
    <row r="9" spans="1:30" x14ac:dyDescent="0.2">
      <c r="A9" t="s">
        <v>31</v>
      </c>
      <c r="B9" t="s">
        <v>26</v>
      </c>
      <c r="C9">
        <v>8</v>
      </c>
      <c r="D9">
        <v>4.8979999999999997</v>
      </c>
      <c r="E9">
        <v>0</v>
      </c>
      <c r="F9">
        <v>10</v>
      </c>
      <c r="G9">
        <v>0</v>
      </c>
      <c r="H9">
        <v>0</v>
      </c>
      <c r="I9">
        <v>0</v>
      </c>
      <c r="J9">
        <v>0</v>
      </c>
      <c r="K9">
        <v>6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f>SUM(E9:P9)</f>
        <v>17</v>
      </c>
      <c r="T9">
        <f t="shared" si="0"/>
        <v>3.4708044099632507</v>
      </c>
      <c r="U9">
        <f t="shared" si="1"/>
        <v>0.34708044099632507</v>
      </c>
    </row>
    <row r="10" spans="1:30" x14ac:dyDescent="0.2">
      <c r="A10" t="s">
        <v>31</v>
      </c>
      <c r="B10" t="s">
        <v>27</v>
      </c>
      <c r="C10">
        <v>9</v>
      </c>
      <c r="D10">
        <v>3.286</v>
      </c>
      <c r="E10">
        <v>0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f>SUM(E10:O10)</f>
        <v>6</v>
      </c>
      <c r="T10">
        <f t="shared" si="0"/>
        <v>1.825928180158247</v>
      </c>
      <c r="U10">
        <f t="shared" si="1"/>
        <v>0.18259281801582469</v>
      </c>
    </row>
    <row r="11" spans="1:30" x14ac:dyDescent="0.2">
      <c r="A11" t="s">
        <v>31</v>
      </c>
      <c r="B11" t="s">
        <v>28</v>
      </c>
      <c r="C11">
        <v>10</v>
      </c>
      <c r="D11">
        <v>11.42</v>
      </c>
      <c r="E11">
        <v>3</v>
      </c>
      <c r="F11">
        <v>2</v>
      </c>
      <c r="G11">
        <v>0</v>
      </c>
      <c r="H11">
        <v>0</v>
      </c>
      <c r="I11">
        <v>0</v>
      </c>
      <c r="J11">
        <v>1</v>
      </c>
      <c r="K11">
        <v>15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10</v>
      </c>
      <c r="S11">
        <f>SUM(E11:R11)</f>
        <v>32</v>
      </c>
      <c r="T11">
        <f t="shared" si="0"/>
        <v>2.8021015761821366</v>
      </c>
      <c r="U11">
        <f t="shared" si="1"/>
        <v>0.28021015761821366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2024-06-17T13:01:32Z</dcterms:created>
  <dcterms:modified xsi:type="dcterms:W3CDTF">2024-06-18T09:34:57Z</dcterms:modified>
</cp:coreProperties>
</file>