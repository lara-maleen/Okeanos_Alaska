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/Downloads/Okeanos Alaska Video Analysis/R Analysis/Okeanos-Video-Analysis/raw_data/garden densities/"/>
    </mc:Choice>
  </mc:AlternateContent>
  <xr:revisionPtr revIDLastSave="0" documentId="13_ncr:1_{9F64BB9E-3C53-BC47-BD49-1295BFB22ADA}" xr6:coauthVersionLast="47" xr6:coauthVersionMax="47" xr10:uidLastSave="{00000000-0000-0000-0000-000000000000}"/>
  <bookViews>
    <workbookView xWindow="880" yWindow="1520" windowWidth="27520" windowHeight="18040" xr2:uid="{5F83DC87-46B5-9047-A834-376093B06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1" l="1"/>
  <c r="V10" i="1" s="1"/>
  <c r="W10" i="1" s="1"/>
  <c r="U9" i="1"/>
  <c r="V9" i="1" s="1"/>
  <c r="W9" i="1" s="1"/>
  <c r="U8" i="1"/>
  <c r="V8" i="1" s="1"/>
  <c r="W8" i="1" s="1"/>
  <c r="U7" i="1"/>
  <c r="V7" i="1" s="1"/>
  <c r="W7" i="1" s="1"/>
  <c r="U6" i="1"/>
  <c r="V6" i="1" s="1"/>
  <c r="W6" i="1" s="1"/>
  <c r="U5" i="1"/>
  <c r="V5" i="1" s="1"/>
  <c r="W5" i="1" s="1"/>
  <c r="U4" i="1"/>
  <c r="V4" i="1" s="1"/>
  <c r="W4" i="1" s="1"/>
  <c r="U3" i="1"/>
  <c r="V3" i="1" s="1"/>
  <c r="W3" i="1" s="1"/>
  <c r="U2" i="1"/>
  <c r="V2" i="1" s="1"/>
  <c r="W2" i="1" s="1"/>
</calcChain>
</file>

<file path=xl/sharedStrings.xml><?xml version="1.0" encoding="utf-8"?>
<sst xmlns="http://schemas.openxmlformats.org/spreadsheetml/2006/main" count="41" uniqueCount="33">
  <si>
    <t>frame_id</t>
  </si>
  <si>
    <t>frame_no</t>
  </si>
  <si>
    <t>area_squared</t>
  </si>
  <si>
    <t>total_ind</t>
  </si>
  <si>
    <t>density_per_m_squared</t>
  </si>
  <si>
    <t>density_per_10m_squared</t>
  </si>
  <si>
    <t>CAO48</t>
  </si>
  <si>
    <t>CAO51</t>
  </si>
  <si>
    <t>CAO52</t>
  </si>
  <si>
    <t>CAO54</t>
  </si>
  <si>
    <t>CAO18</t>
  </si>
  <si>
    <t>PH46</t>
  </si>
  <si>
    <t>PH48</t>
  </si>
  <si>
    <t>PH50</t>
  </si>
  <si>
    <t>PH10</t>
  </si>
  <si>
    <t>PH12</t>
  </si>
  <si>
    <t>PH57</t>
  </si>
  <si>
    <t>PH04</t>
  </si>
  <si>
    <t>CAO50</t>
  </si>
  <si>
    <t>CAO47</t>
  </si>
  <si>
    <t>CAO49</t>
  </si>
  <si>
    <t>PD27</t>
  </si>
  <si>
    <t>1_174453</t>
  </si>
  <si>
    <t>2_181239</t>
  </si>
  <si>
    <t>3_185428</t>
  </si>
  <si>
    <t>4_193557</t>
  </si>
  <si>
    <t>5_201919</t>
  </si>
  <si>
    <t>6_212438</t>
  </si>
  <si>
    <t>8_222640</t>
  </si>
  <si>
    <t>9_230000</t>
  </si>
  <si>
    <t>10_233941</t>
  </si>
  <si>
    <t>2304-7A</t>
  </si>
  <si>
    <t>garden_id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</si>
</sst>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2590-BBEB-D44F-AF92-9E9883EEE43A}">
  <dimension ref="A1:W10"/>
  <sheetViews>
    <sheetView tabSelected="1" zoomScale="120" zoomScaleNormal="120" workbookViewId="0">
      <selection activeCell="A2" sqref="A2"/>
    </sheetView>
  </sheetViews>
  <sheetFormatPr baseColWidth="10" defaultRowHeight="16" x14ac:dyDescent="0.2"/>
  <cols>
    <col min="3" max="3" width="8.1640625" customWidth="1"/>
    <col min="4" max="4" width="14.33203125" customWidth="1"/>
    <col min="13" max="14" width="8.5" customWidth="1"/>
    <col min="22" max="22" width="20" customWidth="1"/>
  </cols>
  <sheetData>
    <row r="1" spans="1:23" x14ac:dyDescent="0.2">
      <c r="A1" t="s">
        <v>32</v>
      </c>
      <c r="B1" s="1" t="s">
        <v>0</v>
      </c>
      <c r="C1" s="1" t="s">
        <v>1</v>
      </c>
      <c r="D1" s="1" t="s">
        <v>2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1" t="s">
        <v>3</v>
      </c>
      <c r="V1" s="1" t="s">
        <v>4</v>
      </c>
      <c r="W1" s="1" t="s">
        <v>5</v>
      </c>
    </row>
    <row r="2" spans="1:23" x14ac:dyDescent="0.2">
      <c r="A2" t="s">
        <v>31</v>
      </c>
      <c r="B2" t="s">
        <v>22</v>
      </c>
      <c r="C2">
        <v>1</v>
      </c>
      <c r="D2">
        <v>4.3760000000000003</v>
      </c>
      <c r="E2">
        <v>8</v>
      </c>
      <c r="F2">
        <v>26</v>
      </c>
      <c r="G2">
        <v>9</v>
      </c>
      <c r="H2">
        <v>0</v>
      </c>
      <c r="I2">
        <v>1</v>
      </c>
      <c r="J2">
        <v>3</v>
      </c>
      <c r="K2">
        <v>1</v>
      </c>
      <c r="L2">
        <v>4</v>
      </c>
      <c r="M2">
        <v>3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f>SUM(E2:N2)</f>
        <v>56</v>
      </c>
      <c r="V2">
        <f t="shared" ref="V2:V10" si="0">U2/D2</f>
        <v>12.797074954296161</v>
      </c>
      <c r="W2">
        <f t="shared" ref="W2:W10" si="1">V2/10</f>
        <v>1.2797074954296161</v>
      </c>
    </row>
    <row r="3" spans="1:23" x14ac:dyDescent="0.2">
      <c r="A3" t="s">
        <v>31</v>
      </c>
      <c r="B3" t="s">
        <v>23</v>
      </c>
      <c r="C3">
        <v>2</v>
      </c>
      <c r="D3">
        <v>8.9939999999999998</v>
      </c>
      <c r="E3">
        <v>10</v>
      </c>
      <c r="F3">
        <v>32</v>
      </c>
      <c r="G3">
        <v>9</v>
      </c>
      <c r="H3">
        <v>0</v>
      </c>
      <c r="I3">
        <v>2</v>
      </c>
      <c r="J3">
        <v>1</v>
      </c>
      <c r="K3">
        <v>0</v>
      </c>
      <c r="L3">
        <v>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f>SUM(E3:N3)</f>
        <v>60</v>
      </c>
      <c r="V3">
        <f t="shared" si="0"/>
        <v>6.6711140760507011</v>
      </c>
      <c r="W3">
        <f t="shared" si="1"/>
        <v>0.66711140760507015</v>
      </c>
    </row>
    <row r="4" spans="1:23" x14ac:dyDescent="0.2">
      <c r="A4" t="s">
        <v>31</v>
      </c>
      <c r="B4" t="s">
        <v>24</v>
      </c>
      <c r="C4">
        <v>3</v>
      </c>
      <c r="D4">
        <v>8.7070000000000007</v>
      </c>
      <c r="E4">
        <v>9</v>
      </c>
      <c r="F4">
        <v>42</v>
      </c>
      <c r="G4">
        <v>1</v>
      </c>
      <c r="H4">
        <v>0</v>
      </c>
      <c r="I4">
        <v>0</v>
      </c>
      <c r="J4">
        <v>0</v>
      </c>
      <c r="K4">
        <v>1</v>
      </c>
      <c r="L4">
        <v>9</v>
      </c>
      <c r="M4">
        <v>0</v>
      </c>
      <c r="N4">
        <v>0</v>
      </c>
      <c r="O4">
        <v>1</v>
      </c>
      <c r="P4">
        <v>2</v>
      </c>
      <c r="Q4">
        <v>3</v>
      </c>
      <c r="R4">
        <v>1</v>
      </c>
      <c r="S4">
        <v>0</v>
      </c>
      <c r="T4">
        <v>0</v>
      </c>
      <c r="U4">
        <f>SUM(E4:R4)</f>
        <v>69</v>
      </c>
      <c r="V4">
        <f t="shared" si="0"/>
        <v>7.9246583208912362</v>
      </c>
      <c r="W4">
        <f t="shared" si="1"/>
        <v>0.79246583208912358</v>
      </c>
    </row>
    <row r="5" spans="1:23" x14ac:dyDescent="0.2">
      <c r="A5" t="s">
        <v>31</v>
      </c>
      <c r="B5" t="s">
        <v>25</v>
      </c>
      <c r="C5">
        <v>4</v>
      </c>
      <c r="D5">
        <v>8.5879999999999992</v>
      </c>
      <c r="E5">
        <v>11</v>
      </c>
      <c r="F5">
        <v>28</v>
      </c>
      <c r="G5">
        <v>8</v>
      </c>
      <c r="H5">
        <v>0</v>
      </c>
      <c r="I5">
        <v>0</v>
      </c>
      <c r="J5">
        <v>2</v>
      </c>
      <c r="K5">
        <v>1</v>
      </c>
      <c r="L5">
        <v>5</v>
      </c>
      <c r="M5">
        <v>0</v>
      </c>
      <c r="N5">
        <v>0</v>
      </c>
      <c r="O5">
        <v>1</v>
      </c>
      <c r="P5">
        <v>0</v>
      </c>
      <c r="Q5">
        <v>0</v>
      </c>
      <c r="R5">
        <v>2</v>
      </c>
      <c r="S5">
        <v>0</v>
      </c>
      <c r="T5">
        <v>0</v>
      </c>
      <c r="U5">
        <f>SUM(E5:R5)</f>
        <v>58</v>
      </c>
      <c r="V5">
        <f t="shared" si="0"/>
        <v>6.7536096879366561</v>
      </c>
      <c r="W5">
        <f t="shared" si="1"/>
        <v>0.67536096879366558</v>
      </c>
    </row>
    <row r="6" spans="1:23" x14ac:dyDescent="0.2">
      <c r="A6" t="s">
        <v>31</v>
      </c>
      <c r="B6" t="s">
        <v>26</v>
      </c>
      <c r="C6">
        <v>5</v>
      </c>
      <c r="D6">
        <v>7.8410000000000002</v>
      </c>
      <c r="E6">
        <v>30</v>
      </c>
      <c r="F6">
        <v>11</v>
      </c>
      <c r="G6">
        <v>0</v>
      </c>
      <c r="H6">
        <v>0</v>
      </c>
      <c r="I6">
        <v>6</v>
      </c>
      <c r="J6">
        <v>1</v>
      </c>
      <c r="K6">
        <v>0</v>
      </c>
      <c r="L6">
        <v>11</v>
      </c>
      <c r="M6">
        <v>0</v>
      </c>
      <c r="N6">
        <v>1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f>SUM(E6:R6)</f>
        <v>63</v>
      </c>
      <c r="V6">
        <f t="shared" si="0"/>
        <v>8.0346894528759076</v>
      </c>
      <c r="W6">
        <f t="shared" si="1"/>
        <v>0.80346894528759072</v>
      </c>
    </row>
    <row r="7" spans="1:23" x14ac:dyDescent="0.2">
      <c r="A7" t="s">
        <v>31</v>
      </c>
      <c r="B7" t="s">
        <v>27</v>
      </c>
      <c r="C7">
        <v>6</v>
      </c>
      <c r="D7">
        <v>5.2880000000000003</v>
      </c>
      <c r="E7">
        <v>4</v>
      </c>
      <c r="F7">
        <v>18</v>
      </c>
      <c r="G7">
        <v>11</v>
      </c>
      <c r="H7">
        <v>0</v>
      </c>
      <c r="I7">
        <v>3</v>
      </c>
      <c r="J7">
        <v>0</v>
      </c>
      <c r="K7">
        <v>1</v>
      </c>
      <c r="L7">
        <v>6</v>
      </c>
      <c r="M7">
        <v>0</v>
      </c>
      <c r="N7">
        <v>2</v>
      </c>
      <c r="O7">
        <v>1</v>
      </c>
      <c r="P7">
        <v>0</v>
      </c>
      <c r="Q7">
        <v>0</v>
      </c>
      <c r="R7">
        <v>2</v>
      </c>
      <c r="S7">
        <v>0</v>
      </c>
      <c r="T7">
        <v>0</v>
      </c>
      <c r="U7">
        <f>SUM(E7:R7)</f>
        <v>48</v>
      </c>
      <c r="V7">
        <f t="shared" si="0"/>
        <v>9.0771558245083206</v>
      </c>
      <c r="W7">
        <f t="shared" si="1"/>
        <v>0.90771558245083206</v>
      </c>
    </row>
    <row r="8" spans="1:23" x14ac:dyDescent="0.2">
      <c r="A8" t="s">
        <v>31</v>
      </c>
      <c r="B8" t="s">
        <v>28</v>
      </c>
      <c r="C8">
        <v>8</v>
      </c>
      <c r="D8">
        <v>6.3010000000000002</v>
      </c>
      <c r="E8">
        <v>2</v>
      </c>
      <c r="F8">
        <v>10</v>
      </c>
      <c r="G8">
        <v>11</v>
      </c>
      <c r="H8">
        <v>0</v>
      </c>
      <c r="I8">
        <v>3</v>
      </c>
      <c r="J8">
        <v>1</v>
      </c>
      <c r="K8">
        <v>0</v>
      </c>
      <c r="L8">
        <v>2</v>
      </c>
      <c r="M8">
        <v>0</v>
      </c>
      <c r="N8">
        <v>1</v>
      </c>
      <c r="O8">
        <v>0</v>
      </c>
      <c r="P8">
        <v>0</v>
      </c>
      <c r="Q8">
        <v>2</v>
      </c>
      <c r="R8">
        <v>3</v>
      </c>
      <c r="S8">
        <v>1</v>
      </c>
      <c r="T8">
        <v>0</v>
      </c>
      <c r="U8">
        <f>SUM(F8:S8)</f>
        <v>34</v>
      </c>
      <c r="V8">
        <f t="shared" si="0"/>
        <v>5.3959688938263763</v>
      </c>
      <c r="W8">
        <f t="shared" si="1"/>
        <v>0.53959688938263761</v>
      </c>
    </row>
    <row r="9" spans="1:23" x14ac:dyDescent="0.2">
      <c r="A9" t="s">
        <v>31</v>
      </c>
      <c r="B9" t="s">
        <v>29</v>
      </c>
      <c r="C9">
        <v>9</v>
      </c>
      <c r="D9">
        <v>13.16</v>
      </c>
      <c r="E9">
        <v>21</v>
      </c>
      <c r="F9">
        <v>6</v>
      </c>
      <c r="G9">
        <v>37</v>
      </c>
      <c r="H9">
        <v>0</v>
      </c>
      <c r="I9">
        <v>0</v>
      </c>
      <c r="J9">
        <v>2</v>
      </c>
      <c r="K9">
        <v>1</v>
      </c>
      <c r="L9">
        <v>6</v>
      </c>
      <c r="M9">
        <v>0</v>
      </c>
      <c r="N9">
        <v>0</v>
      </c>
      <c r="O9">
        <v>2</v>
      </c>
      <c r="P9">
        <v>2</v>
      </c>
      <c r="Q9">
        <v>0</v>
      </c>
      <c r="R9">
        <v>0</v>
      </c>
      <c r="S9">
        <v>1</v>
      </c>
      <c r="T9">
        <v>0</v>
      </c>
      <c r="U9">
        <f>SUM(E9:T9)</f>
        <v>78</v>
      </c>
      <c r="V9">
        <f t="shared" si="0"/>
        <v>5.9270516717325226</v>
      </c>
      <c r="W9">
        <f t="shared" si="1"/>
        <v>0.59270516717325228</v>
      </c>
    </row>
    <row r="10" spans="1:23" x14ac:dyDescent="0.2">
      <c r="A10" t="s">
        <v>31</v>
      </c>
      <c r="B10" t="s">
        <v>30</v>
      </c>
      <c r="C10">
        <v>10</v>
      </c>
      <c r="D10">
        <v>5.5179999999999998</v>
      </c>
      <c r="E10">
        <v>3</v>
      </c>
      <c r="F10">
        <v>9</v>
      </c>
      <c r="G10">
        <v>30</v>
      </c>
      <c r="H10">
        <v>0</v>
      </c>
      <c r="I10">
        <v>2</v>
      </c>
      <c r="J10">
        <v>0</v>
      </c>
      <c r="K10">
        <v>0</v>
      </c>
      <c r="L10">
        <v>2</v>
      </c>
      <c r="M10">
        <v>0</v>
      </c>
      <c r="N10">
        <v>0</v>
      </c>
      <c r="O10">
        <v>5</v>
      </c>
      <c r="P10">
        <v>0</v>
      </c>
      <c r="Q10">
        <v>5</v>
      </c>
      <c r="R10">
        <v>4</v>
      </c>
      <c r="S10">
        <v>4</v>
      </c>
      <c r="T10">
        <v>4</v>
      </c>
      <c r="U10">
        <f>SUM(E10:T10)</f>
        <v>68</v>
      </c>
      <c r="V10">
        <f t="shared" si="0"/>
        <v>12.323305545487496</v>
      </c>
      <c r="W10">
        <f t="shared" si="1"/>
        <v>1.2323305545487497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2024-06-17T13:01:32Z</dcterms:created>
  <dcterms:modified xsi:type="dcterms:W3CDTF">2024-06-18T09:34:02Z</dcterms:modified>
</cp:coreProperties>
</file>