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BC89A51C-C9F7-7D43-84DB-8DC1894FE244}" xr6:coauthVersionLast="47" xr6:coauthVersionMax="47" xr10:uidLastSave="{00000000-0000-0000-0000-000000000000}"/>
  <bookViews>
    <workbookView xWindow="880" yWindow="1520" windowWidth="2218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M11" i="1" s="1"/>
  <c r="N11" i="1" s="1"/>
  <c r="L10" i="1"/>
  <c r="M10" i="1" s="1"/>
  <c r="N10" i="1" s="1"/>
  <c r="L9" i="1"/>
  <c r="M9" i="1" s="1"/>
  <c r="N9" i="1" s="1"/>
  <c r="L8" i="1"/>
  <c r="M8" i="1" s="1"/>
  <c r="N8" i="1" s="1"/>
  <c r="L7" i="1"/>
  <c r="M7" i="1" s="1"/>
  <c r="N7" i="1" s="1"/>
  <c r="L6" i="1"/>
  <c r="M6" i="1" s="1"/>
  <c r="N6" i="1" s="1"/>
  <c r="L5" i="1"/>
  <c r="M5" i="1" s="1"/>
  <c r="N5" i="1" s="1"/>
  <c r="L4" i="1"/>
  <c r="M4" i="1" s="1"/>
  <c r="N4" i="1" s="1"/>
  <c r="L3" i="1"/>
  <c r="M3" i="1" s="1"/>
  <c r="N3" i="1" s="1"/>
  <c r="L2" i="1"/>
  <c r="M2" i="1" s="1"/>
  <c r="N2" i="1" s="1"/>
</calcChain>
</file>

<file path=xl/sharedStrings.xml><?xml version="1.0" encoding="utf-8"?>
<sst xmlns="http://schemas.openxmlformats.org/spreadsheetml/2006/main" count="34" uniqueCount="25">
  <si>
    <t>frame_id</t>
  </si>
  <si>
    <t>frame_no</t>
  </si>
  <si>
    <t>area_squared</t>
  </si>
  <si>
    <t>total_ind</t>
  </si>
  <si>
    <t>density_per_m_squared</t>
  </si>
  <si>
    <t>density_per_10m_squared</t>
  </si>
  <si>
    <t>PH23</t>
  </si>
  <si>
    <t>CAH10</t>
  </si>
  <si>
    <t>CAO29</t>
  </si>
  <si>
    <t>PH07</t>
  </si>
  <si>
    <t>CAH06</t>
  </si>
  <si>
    <t>CAH11</t>
  </si>
  <si>
    <t>CAO30</t>
  </si>
  <si>
    <t>1_190612</t>
  </si>
  <si>
    <t>2_192047</t>
  </si>
  <si>
    <t>3_211342</t>
  </si>
  <si>
    <t>4_211700</t>
  </si>
  <si>
    <t>5_213502</t>
  </si>
  <si>
    <t>6_nolasers_200347</t>
  </si>
  <si>
    <t>7_nolasers_201827</t>
  </si>
  <si>
    <t>8_nolasers_203000</t>
  </si>
  <si>
    <t>9_nolasers_205715</t>
  </si>
  <si>
    <t>10_193037</t>
  </si>
  <si>
    <t>2306-7A</t>
  </si>
  <si>
    <t>garden_id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</si>
</sst>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W11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3" max="3" width="8.1640625" customWidth="1"/>
    <col min="4" max="4" width="14.33203125" customWidth="1"/>
    <col min="13" max="14" width="8.5" customWidth="1"/>
    <col min="22" max="22" width="20" customWidth="1"/>
  </cols>
  <sheetData>
    <row r="1" spans="1:23" x14ac:dyDescent="0.2">
      <c r="A1" t="s">
        <v>24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3</v>
      </c>
      <c r="M1" s="1" t="s">
        <v>4</v>
      </c>
      <c r="N1" s="1" t="s">
        <v>5</v>
      </c>
      <c r="O1" s="1"/>
      <c r="P1" s="1"/>
      <c r="Q1" s="1"/>
      <c r="R1" s="1"/>
      <c r="S1" s="1"/>
      <c r="U1" s="1"/>
      <c r="V1" s="1"/>
      <c r="W1" s="1"/>
    </row>
    <row r="2" spans="1:23" x14ac:dyDescent="0.2">
      <c r="A2" t="s">
        <v>23</v>
      </c>
      <c r="B2" t="s">
        <v>13</v>
      </c>
      <c r="C2">
        <v>1</v>
      </c>
      <c r="D2" s="2">
        <v>4.9119999999999999</v>
      </c>
      <c r="E2">
        <v>14</v>
      </c>
      <c r="F2">
        <v>2</v>
      </c>
      <c r="G2">
        <v>4</v>
      </c>
      <c r="H2">
        <v>0</v>
      </c>
      <c r="I2">
        <v>0</v>
      </c>
      <c r="J2">
        <v>0</v>
      </c>
      <c r="K2">
        <v>0</v>
      </c>
      <c r="L2">
        <f>SUM(E2:J2)</f>
        <v>20</v>
      </c>
      <c r="M2">
        <f t="shared" ref="M2:M11" si="0">L2/D2</f>
        <v>4.0716612377850163</v>
      </c>
      <c r="N2">
        <f t="shared" ref="N2:N11" si="1">M2/10</f>
        <v>0.40716612377850164</v>
      </c>
    </row>
    <row r="3" spans="1:23" x14ac:dyDescent="0.2">
      <c r="A3" t="s">
        <v>23</v>
      </c>
      <c r="B3" t="s">
        <v>14</v>
      </c>
      <c r="C3">
        <v>2</v>
      </c>
      <c r="D3" s="2">
        <v>6.1909999999999998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5" si="2">SUM(E3:J3)</f>
        <v>11</v>
      </c>
      <c r="M3">
        <f t="shared" si="0"/>
        <v>1.7767727346147635</v>
      </c>
      <c r="N3">
        <f t="shared" si="1"/>
        <v>0.17767727346147635</v>
      </c>
    </row>
    <row r="4" spans="1:23" x14ac:dyDescent="0.2">
      <c r="A4" t="s">
        <v>23</v>
      </c>
      <c r="B4" t="s">
        <v>15</v>
      </c>
      <c r="C4">
        <v>3</v>
      </c>
      <c r="D4" s="2">
        <v>12.367000000000001</v>
      </c>
      <c r="E4">
        <v>18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f>SUM(E4:J4)</f>
        <v>20</v>
      </c>
      <c r="M4">
        <f t="shared" si="0"/>
        <v>1.6172070833670251</v>
      </c>
      <c r="N4">
        <f t="shared" si="1"/>
        <v>0.16172070833670252</v>
      </c>
    </row>
    <row r="5" spans="1:23" x14ac:dyDescent="0.2">
      <c r="A5" t="s">
        <v>23</v>
      </c>
      <c r="B5" t="s">
        <v>16</v>
      </c>
      <c r="C5">
        <v>4</v>
      </c>
      <c r="D5" s="2">
        <v>4.8869999999999996</v>
      </c>
      <c r="E5">
        <v>23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f t="shared" si="2"/>
        <v>26</v>
      </c>
      <c r="M5">
        <f t="shared" si="0"/>
        <v>5.3202373644362595</v>
      </c>
      <c r="N5">
        <f t="shared" si="1"/>
        <v>0.53202373644362599</v>
      </c>
    </row>
    <row r="6" spans="1:23" x14ac:dyDescent="0.2">
      <c r="A6" t="s">
        <v>23</v>
      </c>
      <c r="B6" t="s">
        <v>17</v>
      </c>
      <c r="C6">
        <v>5</v>
      </c>
      <c r="D6" s="2">
        <v>9.1509999999999998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f t="shared" ref="L6:L11" si="3">SUM(E6:K6)</f>
        <v>13</v>
      </c>
      <c r="M6">
        <f t="shared" si="0"/>
        <v>1.4206097694241067</v>
      </c>
      <c r="N6">
        <f t="shared" si="1"/>
        <v>0.14206097694241065</v>
      </c>
    </row>
    <row r="7" spans="1:23" x14ac:dyDescent="0.2">
      <c r="A7" t="s">
        <v>23</v>
      </c>
      <c r="B7" t="s">
        <v>18</v>
      </c>
      <c r="C7">
        <v>6</v>
      </c>
      <c r="D7" s="3">
        <v>7.1692999999999998</v>
      </c>
      <c r="E7">
        <v>18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f t="shared" si="3"/>
        <v>19</v>
      </c>
      <c r="M7">
        <f t="shared" si="0"/>
        <v>2.6501890003208124</v>
      </c>
      <c r="N7">
        <f t="shared" si="1"/>
        <v>0.26501890003208123</v>
      </c>
    </row>
    <row r="8" spans="1:23" x14ac:dyDescent="0.2">
      <c r="A8" t="s">
        <v>23</v>
      </c>
      <c r="B8" t="s">
        <v>19</v>
      </c>
      <c r="C8">
        <v>7</v>
      </c>
      <c r="D8" s="3">
        <v>7.1692999999999998</v>
      </c>
      <c r="E8">
        <v>20</v>
      </c>
      <c r="F8">
        <v>1</v>
      </c>
      <c r="G8">
        <v>0</v>
      </c>
      <c r="H8">
        <v>0</v>
      </c>
      <c r="I8">
        <v>0</v>
      </c>
      <c r="J8">
        <v>0</v>
      </c>
      <c r="K8">
        <v>2</v>
      </c>
      <c r="L8">
        <f t="shared" si="3"/>
        <v>23</v>
      </c>
      <c r="M8">
        <f t="shared" si="0"/>
        <v>3.2081235267041412</v>
      </c>
      <c r="N8">
        <f t="shared" si="1"/>
        <v>0.32081235267041414</v>
      </c>
    </row>
    <row r="9" spans="1:23" x14ac:dyDescent="0.2">
      <c r="A9" t="s">
        <v>23</v>
      </c>
      <c r="B9" t="s">
        <v>20</v>
      </c>
      <c r="C9">
        <v>8</v>
      </c>
      <c r="D9" s="3">
        <v>7.1692999999999998</v>
      </c>
      <c r="E9">
        <v>19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3"/>
        <v>21</v>
      </c>
      <c r="M9">
        <f t="shared" si="0"/>
        <v>2.929156263512477</v>
      </c>
      <c r="N9">
        <f t="shared" si="1"/>
        <v>0.29291562635124768</v>
      </c>
    </row>
    <row r="10" spans="1:23" x14ac:dyDescent="0.2">
      <c r="A10" t="s">
        <v>23</v>
      </c>
      <c r="B10" t="s">
        <v>21</v>
      </c>
      <c r="C10">
        <v>9</v>
      </c>
      <c r="D10" s="3">
        <v>7.1692999999999998</v>
      </c>
      <c r="E10">
        <v>17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f t="shared" si="3"/>
        <v>18</v>
      </c>
      <c r="M10">
        <f t="shared" si="0"/>
        <v>2.5107053687249801</v>
      </c>
      <c r="N10">
        <f t="shared" si="1"/>
        <v>0.25107053687249803</v>
      </c>
    </row>
    <row r="11" spans="1:23" x14ac:dyDescent="0.2">
      <c r="A11" t="s">
        <v>23</v>
      </c>
      <c r="B11" t="s">
        <v>22</v>
      </c>
      <c r="C11">
        <v>10</v>
      </c>
      <c r="D11" s="2">
        <v>5.508</v>
      </c>
      <c r="E11">
        <v>16</v>
      </c>
      <c r="F11">
        <v>1</v>
      </c>
      <c r="G11">
        <v>2</v>
      </c>
      <c r="H11">
        <v>0</v>
      </c>
      <c r="I11">
        <v>0</v>
      </c>
      <c r="J11">
        <v>0</v>
      </c>
      <c r="K11">
        <v>0</v>
      </c>
      <c r="L11">
        <f t="shared" si="3"/>
        <v>19</v>
      </c>
      <c r="M11">
        <f t="shared" si="0"/>
        <v>3.4495279593318808</v>
      </c>
      <c r="N11">
        <f t="shared" si="1"/>
        <v>0.34495279593318806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2024-06-18T09:34:19Z</dcterms:modified>
</cp:coreProperties>
</file>