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/Downloads/Okeanos Alaska Video Analysis/R Analysis/Okeanos-Video-Analysis/raw_data/garden densities/"/>
    </mc:Choice>
  </mc:AlternateContent>
  <xr:revisionPtr revIDLastSave="0" documentId="13_ncr:1_{FBDF971C-1BA7-214C-A59A-7859D88BD9C2}" xr6:coauthVersionLast="47" xr6:coauthVersionMax="47" xr10:uidLastSave="{00000000-0000-0000-0000-000000000000}"/>
  <bookViews>
    <workbookView xWindow="880" yWindow="1520" windowWidth="22180" windowHeight="18040" xr2:uid="{5F83DC87-46B5-9047-A834-376093B06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O11" i="1" s="1"/>
  <c r="P11" i="1" s="1"/>
  <c r="N10" i="1"/>
  <c r="O10" i="1" s="1"/>
  <c r="P10" i="1" s="1"/>
  <c r="N9" i="1"/>
  <c r="O9" i="1" s="1"/>
  <c r="P9" i="1" s="1"/>
  <c r="N8" i="1"/>
  <c r="O8" i="1" s="1"/>
  <c r="P8" i="1" s="1"/>
  <c r="N7" i="1"/>
  <c r="O7" i="1" s="1"/>
  <c r="P7" i="1" s="1"/>
  <c r="N6" i="1"/>
  <c r="O6" i="1" s="1"/>
  <c r="P6" i="1" s="1"/>
  <c r="N5" i="1"/>
  <c r="O5" i="1" s="1"/>
  <c r="P5" i="1" s="1"/>
  <c r="N4" i="1"/>
  <c r="D4" i="1"/>
  <c r="N3" i="1"/>
  <c r="D3" i="1"/>
  <c r="N2" i="1"/>
  <c r="O2" i="1" s="1"/>
  <c r="P2" i="1" s="1"/>
  <c r="O3" i="1" l="1"/>
  <c r="P3" i="1" s="1"/>
  <c r="O4" i="1"/>
  <c r="P4" i="1" s="1"/>
</calcChain>
</file>

<file path=xl/sharedStrings.xml><?xml version="1.0" encoding="utf-8"?>
<sst xmlns="http://schemas.openxmlformats.org/spreadsheetml/2006/main" count="36" uniqueCount="27">
  <si>
    <t>CAO02</t>
  </si>
  <si>
    <t>frame_id</t>
  </si>
  <si>
    <t>frame_no</t>
  </si>
  <si>
    <t>area_squared</t>
  </si>
  <si>
    <t>total_ind</t>
  </si>
  <si>
    <t>density_per_m_squared</t>
  </si>
  <si>
    <t>density_per_10m_squared</t>
  </si>
  <si>
    <t>CAO18</t>
  </si>
  <si>
    <t>CAO24</t>
  </si>
  <si>
    <t>PH09</t>
  </si>
  <si>
    <t xml:space="preserve">CAO14 </t>
  </si>
  <si>
    <t>CAO62</t>
  </si>
  <si>
    <t>PD32</t>
  </si>
  <si>
    <t>PH04</t>
  </si>
  <si>
    <t>CAO61</t>
  </si>
  <si>
    <t>1_201328</t>
  </si>
  <si>
    <t>2_nolasers_202631</t>
  </si>
  <si>
    <t>3_nolasers204228</t>
  </si>
  <si>
    <t>4_213425</t>
  </si>
  <si>
    <t>5_214745</t>
  </si>
  <si>
    <t>6_225655</t>
  </si>
  <si>
    <t>7_230032</t>
  </si>
  <si>
    <t>8_201508</t>
  </si>
  <si>
    <t>9_232900</t>
  </si>
  <si>
    <t>10_202353</t>
  </si>
  <si>
    <t>2306-5A</t>
  </si>
  <si>
    <t>garden_id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</si>
</sst>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2590-BBEB-D44F-AF92-9E9883EEE43A}">
  <dimension ref="A1:W11"/>
  <sheetViews>
    <sheetView tabSelected="1" zoomScale="120" zoomScaleNormal="120" workbookViewId="0">
      <selection activeCell="A2" sqref="A2"/>
    </sheetView>
  </sheetViews>
  <sheetFormatPr baseColWidth="10" defaultRowHeight="16" x14ac:dyDescent="0.2"/>
  <cols>
    <col min="3" max="3" width="8.1640625" customWidth="1"/>
    <col min="4" max="4" width="14.33203125" customWidth="1"/>
    <col min="13" max="14" width="8.5" customWidth="1"/>
    <col min="22" max="22" width="20" customWidth="1"/>
  </cols>
  <sheetData>
    <row r="1" spans="1:23" x14ac:dyDescent="0.2">
      <c r="A1" t="s">
        <v>26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8</v>
      </c>
      <c r="G1" s="1" t="s">
        <v>11</v>
      </c>
      <c r="H1" s="1" t="s">
        <v>0</v>
      </c>
      <c r="I1" s="1" t="s">
        <v>9</v>
      </c>
      <c r="J1" s="1" t="s">
        <v>7</v>
      </c>
      <c r="K1" s="1" t="s">
        <v>12</v>
      </c>
      <c r="L1" s="1" t="s">
        <v>13</v>
      </c>
      <c r="M1" s="1" t="s">
        <v>14</v>
      </c>
      <c r="N1" s="1" t="s">
        <v>4</v>
      </c>
      <c r="O1" s="1" t="s">
        <v>5</v>
      </c>
      <c r="P1" s="1" t="s">
        <v>6</v>
      </c>
      <c r="R1" s="1"/>
      <c r="S1" s="1"/>
      <c r="U1" s="1"/>
      <c r="V1" s="1"/>
      <c r="W1" s="1"/>
    </row>
    <row r="2" spans="1:23" x14ac:dyDescent="0.2">
      <c r="A2" t="s">
        <v>25</v>
      </c>
      <c r="B2" t="s">
        <v>15</v>
      </c>
      <c r="C2">
        <v>1</v>
      </c>
      <c r="D2">
        <v>8.548</v>
      </c>
      <c r="E2">
        <v>2</v>
      </c>
      <c r="F2">
        <v>7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f t="shared" ref="N2:N11" si="0">SUM(E2:K2)</f>
        <v>10</v>
      </c>
      <c r="O2">
        <f t="shared" ref="O2:O11" si="1">N2/D2</f>
        <v>1.169864295741694</v>
      </c>
      <c r="P2">
        <f t="shared" ref="P2:P11" si="2">O2/10</f>
        <v>0.11698642957416941</v>
      </c>
    </row>
    <row r="3" spans="1:23" x14ac:dyDescent="0.2">
      <c r="A3" t="s">
        <v>25</v>
      </c>
      <c r="B3" t="s">
        <v>16</v>
      </c>
      <c r="C3">
        <v>2</v>
      </c>
      <c r="D3">
        <f>AVERAGE(D2,D5:D9, D11)</f>
        <v>10.828285714285714</v>
      </c>
      <c r="E3">
        <v>1</v>
      </c>
      <c r="F3">
        <v>4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>
        <f t="shared" si="0"/>
        <v>7</v>
      </c>
      <c r="O3">
        <f t="shared" si="1"/>
        <v>0.64645505158447447</v>
      </c>
      <c r="P3">
        <f t="shared" si="2"/>
        <v>6.4645505158447442E-2</v>
      </c>
    </row>
    <row r="4" spans="1:23" x14ac:dyDescent="0.2">
      <c r="A4" t="s">
        <v>25</v>
      </c>
      <c r="B4" t="s">
        <v>17</v>
      </c>
      <c r="C4">
        <v>3</v>
      </c>
      <c r="D4">
        <f>AVERAGE(D2,D5:D9, D11)</f>
        <v>10.828285714285714</v>
      </c>
      <c r="E4">
        <v>4</v>
      </c>
      <c r="F4">
        <v>6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f t="shared" si="0"/>
        <v>11</v>
      </c>
      <c r="O4">
        <f t="shared" si="1"/>
        <v>1.0158579382041744</v>
      </c>
      <c r="P4">
        <f t="shared" si="2"/>
        <v>0.10158579382041744</v>
      </c>
    </row>
    <row r="5" spans="1:23" x14ac:dyDescent="0.2">
      <c r="A5" t="s">
        <v>25</v>
      </c>
      <c r="B5" t="s">
        <v>18</v>
      </c>
      <c r="C5">
        <v>4</v>
      </c>
      <c r="D5">
        <v>8.6430000000000007</v>
      </c>
      <c r="E5">
        <v>8</v>
      </c>
      <c r="F5">
        <v>5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f t="shared" si="0"/>
        <v>14</v>
      </c>
      <c r="O5">
        <f t="shared" si="1"/>
        <v>1.6198079370588914</v>
      </c>
      <c r="P5">
        <f t="shared" si="2"/>
        <v>0.16198079370588914</v>
      </c>
    </row>
    <row r="6" spans="1:23" x14ac:dyDescent="0.2">
      <c r="A6" t="s">
        <v>25</v>
      </c>
      <c r="B6" t="s">
        <v>19</v>
      </c>
      <c r="C6">
        <v>5</v>
      </c>
      <c r="D6">
        <v>7.0430000000000001</v>
      </c>
      <c r="E6">
        <v>7</v>
      </c>
      <c r="F6">
        <v>1</v>
      </c>
      <c r="G6">
        <v>6</v>
      </c>
      <c r="H6">
        <v>0</v>
      </c>
      <c r="I6">
        <v>1</v>
      </c>
      <c r="J6">
        <v>1</v>
      </c>
      <c r="K6">
        <v>2</v>
      </c>
      <c r="L6">
        <v>0</v>
      </c>
      <c r="M6">
        <v>0</v>
      </c>
      <c r="N6">
        <f t="shared" si="0"/>
        <v>18</v>
      </c>
      <c r="O6">
        <f t="shared" si="1"/>
        <v>2.555729092716172</v>
      </c>
      <c r="P6">
        <f t="shared" si="2"/>
        <v>0.25557290927161719</v>
      </c>
    </row>
    <row r="7" spans="1:23" x14ac:dyDescent="0.2">
      <c r="A7" t="s">
        <v>25</v>
      </c>
      <c r="B7" t="s">
        <v>20</v>
      </c>
      <c r="C7">
        <v>6</v>
      </c>
      <c r="D7" s="2">
        <v>12.984</v>
      </c>
      <c r="E7">
        <v>8</v>
      </c>
      <c r="F7">
        <v>0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f t="shared" si="0"/>
        <v>10</v>
      </c>
      <c r="O7">
        <f t="shared" si="1"/>
        <v>0.7701786814540974</v>
      </c>
      <c r="P7">
        <f t="shared" si="2"/>
        <v>7.7017868145409743E-2</v>
      </c>
    </row>
    <row r="8" spans="1:23" x14ac:dyDescent="0.2">
      <c r="A8" t="s">
        <v>25</v>
      </c>
      <c r="B8" t="s">
        <v>21</v>
      </c>
      <c r="C8">
        <v>7</v>
      </c>
      <c r="D8">
        <v>11.929</v>
      </c>
      <c r="E8">
        <v>5</v>
      </c>
      <c r="F8">
        <v>4</v>
      </c>
      <c r="G8">
        <v>1</v>
      </c>
      <c r="H8">
        <v>0</v>
      </c>
      <c r="I8">
        <v>2</v>
      </c>
      <c r="J8">
        <v>0</v>
      </c>
      <c r="K8">
        <v>5</v>
      </c>
      <c r="L8">
        <v>0</v>
      </c>
      <c r="M8">
        <v>0</v>
      </c>
      <c r="N8">
        <f t="shared" si="0"/>
        <v>17</v>
      </c>
      <c r="O8">
        <f t="shared" si="1"/>
        <v>1.4250984994551095</v>
      </c>
      <c r="P8">
        <f t="shared" si="2"/>
        <v>0.14250984994551094</v>
      </c>
    </row>
    <row r="9" spans="1:23" x14ac:dyDescent="0.2">
      <c r="A9" t="s">
        <v>25</v>
      </c>
      <c r="B9" t="s">
        <v>22</v>
      </c>
      <c r="C9">
        <v>8</v>
      </c>
      <c r="D9">
        <v>15.03</v>
      </c>
      <c r="E9">
        <v>2</v>
      </c>
      <c r="F9">
        <v>5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f t="shared" si="0"/>
        <v>9</v>
      </c>
      <c r="O9">
        <f t="shared" si="1"/>
        <v>0.5988023952095809</v>
      </c>
      <c r="P9">
        <f t="shared" si="2"/>
        <v>5.9880239520958091E-2</v>
      </c>
    </row>
    <row r="10" spans="1:23" x14ac:dyDescent="0.2">
      <c r="A10" t="s">
        <v>25</v>
      </c>
      <c r="B10" t="s">
        <v>23</v>
      </c>
      <c r="C10">
        <v>9</v>
      </c>
      <c r="D10">
        <v>3.2930000000000001</v>
      </c>
      <c r="E10">
        <v>0</v>
      </c>
      <c r="F10">
        <v>0</v>
      </c>
      <c r="G10">
        <v>5</v>
      </c>
      <c r="H10">
        <v>0</v>
      </c>
      <c r="I10">
        <v>0</v>
      </c>
      <c r="J10">
        <v>0</v>
      </c>
      <c r="K10">
        <v>0</v>
      </c>
      <c r="L10">
        <v>0</v>
      </c>
      <c r="M10">
        <v>3</v>
      </c>
      <c r="N10">
        <f t="shared" si="0"/>
        <v>5</v>
      </c>
      <c r="O10">
        <f t="shared" si="1"/>
        <v>1.5183723048891589</v>
      </c>
      <c r="P10">
        <f t="shared" si="2"/>
        <v>0.1518372304889159</v>
      </c>
    </row>
    <row r="11" spans="1:23" x14ac:dyDescent="0.2">
      <c r="A11" t="s">
        <v>25</v>
      </c>
      <c r="B11" t="s">
        <v>24</v>
      </c>
      <c r="C11">
        <v>10</v>
      </c>
      <c r="D11">
        <v>11.621</v>
      </c>
      <c r="E11">
        <v>2</v>
      </c>
      <c r="F11">
        <v>5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  <c r="N11">
        <f t="shared" si="0"/>
        <v>9</v>
      </c>
      <c r="O11">
        <f t="shared" si="1"/>
        <v>0.77446002925737889</v>
      </c>
      <c r="P11">
        <f t="shared" si="2"/>
        <v>7.7446002925737889E-2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2024-06-17T13:01:32Z</dcterms:created>
  <dcterms:modified xsi:type="dcterms:W3CDTF">2024-06-18T09:33:35Z</dcterms:modified>
</cp:coreProperties>
</file>