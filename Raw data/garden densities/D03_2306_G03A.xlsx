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ra/Downloads/Okeanos Alaska Video Analysis/R Analysis/Okeanos-Video-Analysis/raw_data/garden densities/"/>
    </mc:Choice>
  </mc:AlternateContent>
  <xr:revisionPtr revIDLastSave="0" documentId="13_ncr:1_{F7EBB968-26EC-974F-A96B-A61A51E009FE}" xr6:coauthVersionLast="47" xr6:coauthVersionMax="47" xr10:uidLastSave="{00000000-0000-0000-0000-000000000000}"/>
  <bookViews>
    <workbookView xWindow="-28160" yWindow="1240" windowWidth="22180" windowHeight="17500" xr2:uid="{5F83DC87-46B5-9047-A834-376093B067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" i="1" l="1"/>
  <c r="R10" i="1" s="1"/>
  <c r="S10" i="1" s="1"/>
  <c r="Q9" i="1"/>
  <c r="R9" i="1" s="1"/>
  <c r="S9" i="1" s="1"/>
  <c r="Q8" i="1"/>
  <c r="R8" i="1" s="1"/>
  <c r="S8" i="1" s="1"/>
  <c r="Q7" i="1"/>
  <c r="R7" i="1" s="1"/>
  <c r="Q6" i="1"/>
  <c r="R6" i="1" s="1"/>
  <c r="S6" i="1" s="1"/>
  <c r="Q5" i="1"/>
  <c r="Q4" i="1"/>
  <c r="Q3" i="1"/>
  <c r="R3" i="1" s="1"/>
  <c r="Q2" i="1"/>
  <c r="S3" i="1" l="1"/>
  <c r="S7" i="1"/>
  <c r="R4" i="1"/>
  <c r="S4" i="1" s="1"/>
  <c r="R5" i="1"/>
  <c r="S5" i="1" s="1"/>
  <c r="R2" i="1"/>
  <c r="S2" i="1" s="1"/>
</calcChain>
</file>

<file path=xl/sharedStrings.xml><?xml version="1.0" encoding="utf-8"?>
<sst xmlns="http://schemas.openxmlformats.org/spreadsheetml/2006/main" count="37" uniqueCount="29">
  <si>
    <t>CAO02</t>
  </si>
  <si>
    <t>CAH02</t>
  </si>
  <si>
    <t>frame_id</t>
  </si>
  <si>
    <t>frame_no</t>
  </si>
  <si>
    <t>area_squared</t>
  </si>
  <si>
    <t>total_ind</t>
  </si>
  <si>
    <t>density_per_m_squared</t>
  </si>
  <si>
    <t>density_per_10m_squared</t>
  </si>
  <si>
    <t>CAO18</t>
  </si>
  <si>
    <t>PH10</t>
  </si>
  <si>
    <t>CAO14</t>
  </si>
  <si>
    <t>CAO16</t>
  </si>
  <si>
    <t>CAO23</t>
  </si>
  <si>
    <t>PH17</t>
  </si>
  <si>
    <t>CAO15</t>
  </si>
  <si>
    <t>CAO19</t>
  </si>
  <si>
    <t>CAO24</t>
  </si>
  <si>
    <t>PH09</t>
  </si>
  <si>
    <t>1_193235</t>
  </si>
  <si>
    <t>2_194145</t>
  </si>
  <si>
    <t>3_nolasers_201343</t>
  </si>
  <si>
    <t>4_200713</t>
  </si>
  <si>
    <t>5_202350</t>
  </si>
  <si>
    <t>6_203608</t>
  </si>
  <si>
    <t>8_193355</t>
  </si>
  <si>
    <t>9_nolasers_201453</t>
  </si>
  <si>
    <t>10_202527</t>
  </si>
  <si>
    <t>2306-3A</t>
  </si>
  <si>
    <t>garden_id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</si>
</sst>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F2590-BBEB-D44F-AF92-9E9883EEE43A}">
  <dimension ref="A1:W10"/>
  <sheetViews>
    <sheetView tabSelected="1" zoomScale="120" zoomScaleNormal="120" workbookViewId="0">
      <selection activeCell="A2" sqref="A2"/>
    </sheetView>
  </sheetViews>
  <sheetFormatPr baseColWidth="10" defaultRowHeight="16" x14ac:dyDescent="0.2"/>
  <cols>
    <col min="3" max="3" width="8.1640625" customWidth="1"/>
    <col min="4" max="4" width="14.33203125" customWidth="1"/>
    <col min="13" max="14" width="8.5" customWidth="1"/>
    <col min="22" max="22" width="20" customWidth="1"/>
  </cols>
  <sheetData>
    <row r="1" spans="1:23" x14ac:dyDescent="0.2">
      <c r="A1" t="s">
        <v>28</v>
      </c>
      <c r="B1" s="1" t="s">
        <v>2</v>
      </c>
      <c r="C1" s="1" t="s">
        <v>3</v>
      </c>
      <c r="D1" s="1" t="s">
        <v>4</v>
      </c>
      <c r="E1" s="1" t="s">
        <v>0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8</v>
      </c>
      <c r="K1" s="1" t="s">
        <v>14</v>
      </c>
      <c r="L1" s="1" t="s">
        <v>15</v>
      </c>
      <c r="M1" s="1" t="s">
        <v>1</v>
      </c>
      <c r="N1" s="1" t="s">
        <v>16</v>
      </c>
      <c r="O1" s="1" t="s">
        <v>17</v>
      </c>
      <c r="P1" s="1" t="s">
        <v>9</v>
      </c>
      <c r="Q1" s="1" t="s">
        <v>5</v>
      </c>
      <c r="R1" s="1" t="s">
        <v>6</v>
      </c>
      <c r="S1" s="1" t="s">
        <v>7</v>
      </c>
      <c r="U1" s="1"/>
      <c r="V1" s="1"/>
      <c r="W1" s="1"/>
    </row>
    <row r="2" spans="1:23" x14ac:dyDescent="0.2">
      <c r="A2" t="s">
        <v>27</v>
      </c>
      <c r="B2" t="s">
        <v>18</v>
      </c>
      <c r="C2">
        <v>1</v>
      </c>
      <c r="D2">
        <v>7.6639999999999997</v>
      </c>
      <c r="E2" s="3">
        <v>10</v>
      </c>
      <c r="F2" s="3">
        <v>2</v>
      </c>
      <c r="G2" s="3">
        <v>1</v>
      </c>
      <c r="H2" s="3">
        <v>1</v>
      </c>
      <c r="I2" s="3">
        <v>1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f>SUM(E2:J2)</f>
        <v>15</v>
      </c>
      <c r="R2">
        <f t="shared" ref="R2:R10" si="0">Q2/D2</f>
        <v>1.9572025052192068</v>
      </c>
      <c r="S2">
        <f>R2/10</f>
        <v>0.19572025052192069</v>
      </c>
    </row>
    <row r="3" spans="1:23" x14ac:dyDescent="0.2">
      <c r="A3" t="s">
        <v>27</v>
      </c>
      <c r="B3" t="s">
        <v>19</v>
      </c>
      <c r="C3">
        <v>2</v>
      </c>
      <c r="D3">
        <v>10.212999999999999</v>
      </c>
      <c r="E3" s="3">
        <v>6</v>
      </c>
      <c r="F3" s="3">
        <v>4</v>
      </c>
      <c r="G3" s="3">
        <v>4</v>
      </c>
      <c r="H3" s="3">
        <v>0</v>
      </c>
      <c r="I3" s="3">
        <v>11</v>
      </c>
      <c r="J3" s="3">
        <v>1</v>
      </c>
      <c r="K3" s="3">
        <v>1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f>SUM(E3:J3)</f>
        <v>26</v>
      </c>
      <c r="R3">
        <f t="shared" si="0"/>
        <v>2.5457749926564186</v>
      </c>
      <c r="S3">
        <f>R3/10</f>
        <v>0.25457749926564188</v>
      </c>
    </row>
    <row r="4" spans="1:23" x14ac:dyDescent="0.2">
      <c r="A4" t="s">
        <v>27</v>
      </c>
      <c r="B4" t="s">
        <v>20</v>
      </c>
      <c r="C4">
        <v>3</v>
      </c>
      <c r="D4" s="2">
        <v>11.32</v>
      </c>
      <c r="E4">
        <v>6</v>
      </c>
      <c r="F4">
        <v>2</v>
      </c>
      <c r="G4">
        <v>4</v>
      </c>
      <c r="H4">
        <v>0</v>
      </c>
      <c r="I4">
        <v>3</v>
      </c>
      <c r="J4">
        <v>0</v>
      </c>
      <c r="K4">
        <v>0</v>
      </c>
      <c r="L4">
        <v>1</v>
      </c>
      <c r="M4">
        <v>0</v>
      </c>
      <c r="N4" s="3">
        <v>0</v>
      </c>
      <c r="O4" s="3">
        <v>0</v>
      </c>
      <c r="P4" s="3">
        <v>0</v>
      </c>
      <c r="Q4" s="3">
        <f>SUM(E4:J4)</f>
        <v>15</v>
      </c>
      <c r="R4">
        <f t="shared" si="0"/>
        <v>1.3250883392226147</v>
      </c>
      <c r="S4">
        <f>R4/10</f>
        <v>0.13250883392226148</v>
      </c>
    </row>
    <row r="5" spans="1:23" x14ac:dyDescent="0.2">
      <c r="A5" t="s">
        <v>27</v>
      </c>
      <c r="B5" t="s">
        <v>21</v>
      </c>
      <c r="C5">
        <v>4</v>
      </c>
      <c r="D5">
        <v>11.198</v>
      </c>
      <c r="E5">
        <v>7</v>
      </c>
      <c r="F5">
        <v>5</v>
      </c>
      <c r="G5">
        <v>10</v>
      </c>
      <c r="H5">
        <v>0</v>
      </c>
      <c r="I5">
        <v>7</v>
      </c>
      <c r="J5">
        <v>0</v>
      </c>
      <c r="K5">
        <v>0</v>
      </c>
      <c r="L5">
        <v>0</v>
      </c>
      <c r="M5">
        <v>0</v>
      </c>
      <c r="N5">
        <v>0</v>
      </c>
      <c r="O5" s="3">
        <v>0</v>
      </c>
      <c r="P5" s="3">
        <v>0</v>
      </c>
      <c r="Q5" s="3">
        <f>SUM(E5:J5)</f>
        <v>29</v>
      </c>
      <c r="R5">
        <f t="shared" si="0"/>
        <v>2.589748169315949</v>
      </c>
      <c r="S5">
        <f t="shared" ref="S5:S10" si="1">R5/10</f>
        <v>0.25897481693159491</v>
      </c>
    </row>
    <row r="6" spans="1:23" x14ac:dyDescent="0.2">
      <c r="A6" t="s">
        <v>27</v>
      </c>
      <c r="B6" t="s">
        <v>22</v>
      </c>
      <c r="C6">
        <v>5</v>
      </c>
      <c r="D6">
        <v>17.167999999999999</v>
      </c>
      <c r="E6">
        <v>15</v>
      </c>
      <c r="F6">
        <v>5</v>
      </c>
      <c r="G6">
        <v>16</v>
      </c>
      <c r="H6">
        <v>0</v>
      </c>
      <c r="I6">
        <v>13</v>
      </c>
      <c r="J6">
        <v>0</v>
      </c>
      <c r="K6" s="3">
        <v>0</v>
      </c>
      <c r="L6">
        <v>1</v>
      </c>
      <c r="M6">
        <v>2</v>
      </c>
      <c r="N6">
        <v>0</v>
      </c>
      <c r="O6" s="3">
        <v>0</v>
      </c>
      <c r="P6" s="3">
        <v>0</v>
      </c>
      <c r="Q6" s="3">
        <f>SUM(E6:M6)</f>
        <v>52</v>
      </c>
      <c r="R6">
        <f t="shared" si="0"/>
        <v>3.0288909599254428</v>
      </c>
      <c r="S6">
        <f t="shared" si="1"/>
        <v>0.30288909599254427</v>
      </c>
    </row>
    <row r="7" spans="1:23" x14ac:dyDescent="0.2">
      <c r="A7" t="s">
        <v>27</v>
      </c>
      <c r="B7" t="s">
        <v>23</v>
      </c>
      <c r="C7">
        <v>6</v>
      </c>
      <c r="D7">
        <v>15.727</v>
      </c>
      <c r="E7">
        <v>10</v>
      </c>
      <c r="F7">
        <v>8</v>
      </c>
      <c r="G7">
        <v>14</v>
      </c>
      <c r="H7">
        <v>0</v>
      </c>
      <c r="I7">
        <v>9</v>
      </c>
      <c r="J7">
        <v>0</v>
      </c>
      <c r="K7">
        <v>0</v>
      </c>
      <c r="L7">
        <v>1</v>
      </c>
      <c r="M7">
        <v>1</v>
      </c>
      <c r="N7">
        <v>1</v>
      </c>
      <c r="O7" s="3">
        <v>0</v>
      </c>
      <c r="P7" s="3">
        <v>0</v>
      </c>
      <c r="Q7" s="3">
        <f>SUM(E7:N7)</f>
        <v>44</v>
      </c>
      <c r="R7">
        <f t="shared" si="0"/>
        <v>2.7977363769313919</v>
      </c>
      <c r="S7">
        <f t="shared" si="1"/>
        <v>0.27977363769313918</v>
      </c>
    </row>
    <row r="8" spans="1:23" x14ac:dyDescent="0.2">
      <c r="A8" t="s">
        <v>27</v>
      </c>
      <c r="B8" t="s">
        <v>24</v>
      </c>
      <c r="C8">
        <v>8</v>
      </c>
      <c r="D8">
        <v>9.3070000000000004</v>
      </c>
      <c r="E8">
        <v>10</v>
      </c>
      <c r="F8">
        <v>3</v>
      </c>
      <c r="G8">
        <v>4</v>
      </c>
      <c r="H8">
        <v>0</v>
      </c>
      <c r="I8">
        <v>6</v>
      </c>
      <c r="J8">
        <v>0</v>
      </c>
      <c r="K8">
        <v>0</v>
      </c>
      <c r="L8">
        <v>0</v>
      </c>
      <c r="M8">
        <v>0</v>
      </c>
      <c r="N8">
        <v>0</v>
      </c>
      <c r="O8" s="3">
        <v>0</v>
      </c>
      <c r="P8" s="3">
        <v>0</v>
      </c>
      <c r="Q8" s="3">
        <f>SUM(E8:N8)</f>
        <v>23</v>
      </c>
      <c r="R8">
        <f t="shared" si="0"/>
        <v>2.471258192758139</v>
      </c>
      <c r="S8">
        <f t="shared" si="1"/>
        <v>0.2471258192758139</v>
      </c>
    </row>
    <row r="9" spans="1:23" x14ac:dyDescent="0.2">
      <c r="A9" t="s">
        <v>27</v>
      </c>
      <c r="B9" t="s">
        <v>25</v>
      </c>
      <c r="C9">
        <v>9</v>
      </c>
      <c r="D9" s="2">
        <v>11.32</v>
      </c>
      <c r="E9">
        <v>13</v>
      </c>
      <c r="F9">
        <v>2</v>
      </c>
      <c r="G9">
        <v>13</v>
      </c>
      <c r="H9">
        <v>0</v>
      </c>
      <c r="I9">
        <v>10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 s="3">
        <v>0</v>
      </c>
      <c r="Q9" s="3">
        <f>SUM(E9:N9)</f>
        <v>38</v>
      </c>
      <c r="R9">
        <f t="shared" si="0"/>
        <v>3.3568904593639575</v>
      </c>
      <c r="S9">
        <f t="shared" si="1"/>
        <v>0.33568904593639576</v>
      </c>
    </row>
    <row r="10" spans="1:23" x14ac:dyDescent="0.2">
      <c r="A10" t="s">
        <v>27</v>
      </c>
      <c r="B10" t="s">
        <v>26</v>
      </c>
      <c r="C10">
        <v>10</v>
      </c>
      <c r="D10">
        <v>7.9950000000000001</v>
      </c>
      <c r="E10">
        <v>8</v>
      </c>
      <c r="F10">
        <v>7</v>
      </c>
      <c r="G10">
        <v>6</v>
      </c>
      <c r="H10">
        <v>0</v>
      </c>
      <c r="I10">
        <v>3</v>
      </c>
      <c r="J10">
        <v>0</v>
      </c>
      <c r="K10">
        <v>0</v>
      </c>
      <c r="L10">
        <v>0</v>
      </c>
      <c r="M10">
        <v>2</v>
      </c>
      <c r="N10">
        <v>0</v>
      </c>
      <c r="O10">
        <v>2</v>
      </c>
      <c r="P10">
        <v>1</v>
      </c>
      <c r="Q10" s="3">
        <f>SUM(E10:P10)</f>
        <v>29</v>
      </c>
      <c r="R10">
        <f t="shared" si="0"/>
        <v>3.6272670419011881</v>
      </c>
      <c r="S10">
        <f t="shared" si="1"/>
        <v>0.36272670419011882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2024-06-17T13:01:32Z</dcterms:created>
  <dcterms:modified xsi:type="dcterms:W3CDTF">2024-06-18T09:32:58Z</dcterms:modified>
</cp:coreProperties>
</file>