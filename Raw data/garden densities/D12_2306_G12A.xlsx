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Downloads/Okeanos Alaska Video Analysis/R Analysis/Okeanos-Video-Analysis/raw_data/garden densities/"/>
    </mc:Choice>
  </mc:AlternateContent>
  <xr:revisionPtr revIDLastSave="0" documentId="13_ncr:1_{59A6AC1C-4750-3F4C-8B87-D6201459887C}" xr6:coauthVersionLast="47" xr6:coauthVersionMax="47" xr10:uidLastSave="{00000000-0000-0000-0000-000000000000}"/>
  <bookViews>
    <workbookView xWindow="880" yWindow="1520" windowWidth="22180" windowHeight="18040" xr2:uid="{5F83DC87-46B5-9047-A834-376093B06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I2" i="1"/>
  <c r="J2" i="1" s="1"/>
  <c r="K2" i="1" s="1"/>
</calcChain>
</file>

<file path=xl/sharedStrings.xml><?xml version="1.0" encoding="utf-8"?>
<sst xmlns="http://schemas.openxmlformats.org/spreadsheetml/2006/main" count="29" uniqueCount="21">
  <si>
    <t>CAO02</t>
  </si>
  <si>
    <t>frame_id</t>
  </si>
  <si>
    <t>frame_no</t>
  </si>
  <si>
    <t>area_squared</t>
  </si>
  <si>
    <t>total_ind</t>
  </si>
  <si>
    <t>density_per_m_squared</t>
  </si>
  <si>
    <t>density_per_10m_squared</t>
  </si>
  <si>
    <t>1_193344</t>
  </si>
  <si>
    <t>2_202339</t>
  </si>
  <si>
    <t>3_203032</t>
  </si>
  <si>
    <t>4_210207</t>
  </si>
  <si>
    <t>5_210651</t>
  </si>
  <si>
    <t>6_211730</t>
  </si>
  <si>
    <t>7_213513</t>
  </si>
  <si>
    <t>8_214117</t>
  </si>
  <si>
    <t>10_223405</t>
  </si>
  <si>
    <t>PD18</t>
  </si>
  <si>
    <t>CAO20</t>
  </si>
  <si>
    <t>CAH09</t>
  </si>
  <si>
    <t>garden_id</t>
  </si>
  <si>
    <t>2306-12A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</si>
</sst>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2590-BBEB-D44F-AF92-9E9883EEE43A}">
  <dimension ref="A1:T10"/>
  <sheetViews>
    <sheetView tabSelected="1" zoomScale="120" zoomScaleNormal="120" workbookViewId="0">
      <selection activeCell="B14" sqref="B14"/>
    </sheetView>
  </sheetViews>
  <sheetFormatPr baseColWidth="10" defaultRowHeight="16" x14ac:dyDescent="0.2"/>
  <cols>
    <col min="3" max="3" width="8.1640625" customWidth="1"/>
    <col min="4" max="4" width="14.33203125" customWidth="1"/>
    <col min="10" max="11" width="8.5" customWidth="1"/>
    <col min="19" max="19" width="20" customWidth="1"/>
  </cols>
  <sheetData>
    <row r="1" spans="1:20" x14ac:dyDescent="0.2">
      <c r="A1" t="s">
        <v>19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0</v>
      </c>
      <c r="I1" s="1" t="s">
        <v>4</v>
      </c>
      <c r="J1" s="1" t="s">
        <v>5</v>
      </c>
      <c r="K1" s="1" t="s">
        <v>6</v>
      </c>
      <c r="L1" s="1"/>
      <c r="M1" s="1"/>
      <c r="N1" s="1"/>
      <c r="O1" s="1"/>
      <c r="P1" s="1"/>
      <c r="R1" s="1"/>
      <c r="S1" s="1"/>
      <c r="T1" s="1"/>
    </row>
    <row r="2" spans="1:20" x14ac:dyDescent="0.2">
      <c r="A2" t="s">
        <v>20</v>
      </c>
      <c r="B2" t="s">
        <v>7</v>
      </c>
      <c r="C2">
        <v>1</v>
      </c>
      <c r="D2">
        <v>6.3559999999999999</v>
      </c>
      <c r="E2">
        <v>39</v>
      </c>
      <c r="F2">
        <v>1</v>
      </c>
      <c r="G2">
        <v>0</v>
      </c>
      <c r="H2">
        <v>0</v>
      </c>
      <c r="I2">
        <f t="shared" ref="I2:I10" si="0">SUM(E2:H2)</f>
        <v>40</v>
      </c>
      <c r="J2">
        <f t="shared" ref="J2:J10" si="1">I2/D2</f>
        <v>6.2932662051604789</v>
      </c>
      <c r="K2">
        <f t="shared" ref="K2:K10" si="2">J2/10</f>
        <v>0.62932662051604793</v>
      </c>
    </row>
    <row r="3" spans="1:20" x14ac:dyDescent="0.2">
      <c r="A3" t="s">
        <v>20</v>
      </c>
      <c r="B3" t="s">
        <v>8</v>
      </c>
      <c r="C3">
        <v>2</v>
      </c>
      <c r="D3">
        <v>4.1239999999999997</v>
      </c>
      <c r="E3">
        <v>23</v>
      </c>
      <c r="F3">
        <v>3</v>
      </c>
      <c r="G3">
        <v>1</v>
      </c>
      <c r="H3">
        <v>0</v>
      </c>
      <c r="I3">
        <f t="shared" si="0"/>
        <v>27</v>
      </c>
      <c r="J3">
        <f t="shared" si="1"/>
        <v>6.5470417070805045</v>
      </c>
      <c r="K3">
        <f t="shared" si="2"/>
        <v>0.65470417070805043</v>
      </c>
    </row>
    <row r="4" spans="1:20" x14ac:dyDescent="0.2">
      <c r="A4" t="s">
        <v>20</v>
      </c>
      <c r="B4" t="s">
        <v>9</v>
      </c>
      <c r="C4">
        <v>3</v>
      </c>
      <c r="D4">
        <v>4.83</v>
      </c>
      <c r="E4">
        <v>39</v>
      </c>
      <c r="F4">
        <v>2</v>
      </c>
      <c r="G4">
        <v>1</v>
      </c>
      <c r="H4">
        <v>0</v>
      </c>
      <c r="I4">
        <f t="shared" si="0"/>
        <v>42</v>
      </c>
      <c r="J4">
        <f t="shared" si="1"/>
        <v>8.695652173913043</v>
      </c>
      <c r="K4">
        <f t="shared" si="2"/>
        <v>0.86956521739130432</v>
      </c>
    </row>
    <row r="5" spans="1:20" x14ac:dyDescent="0.2">
      <c r="A5" t="s">
        <v>20</v>
      </c>
      <c r="B5" t="s">
        <v>10</v>
      </c>
      <c r="C5">
        <v>4</v>
      </c>
      <c r="D5">
        <v>2.9</v>
      </c>
      <c r="E5">
        <v>21</v>
      </c>
      <c r="F5">
        <v>0</v>
      </c>
      <c r="G5">
        <v>0</v>
      </c>
      <c r="H5">
        <v>0</v>
      </c>
      <c r="I5">
        <f t="shared" si="0"/>
        <v>21</v>
      </c>
      <c r="J5">
        <f t="shared" si="1"/>
        <v>7.2413793103448274</v>
      </c>
      <c r="K5">
        <f t="shared" si="2"/>
        <v>0.72413793103448276</v>
      </c>
    </row>
    <row r="6" spans="1:20" x14ac:dyDescent="0.2">
      <c r="A6" t="s">
        <v>20</v>
      </c>
      <c r="B6" t="s">
        <v>11</v>
      </c>
      <c r="C6">
        <v>5</v>
      </c>
      <c r="D6">
        <v>6.6719999999999997</v>
      </c>
      <c r="E6">
        <v>26</v>
      </c>
      <c r="F6">
        <v>0</v>
      </c>
      <c r="G6">
        <v>1</v>
      </c>
      <c r="H6">
        <v>0</v>
      </c>
      <c r="I6">
        <f t="shared" si="0"/>
        <v>27</v>
      </c>
      <c r="J6">
        <f t="shared" si="1"/>
        <v>4.0467625899280577</v>
      </c>
      <c r="K6">
        <f t="shared" si="2"/>
        <v>0.40467625899280579</v>
      </c>
    </row>
    <row r="7" spans="1:20" x14ac:dyDescent="0.2">
      <c r="A7" t="s">
        <v>20</v>
      </c>
      <c r="B7" t="s">
        <v>12</v>
      </c>
      <c r="C7">
        <v>6</v>
      </c>
      <c r="D7">
        <v>7.0110000000000001</v>
      </c>
      <c r="E7">
        <v>38</v>
      </c>
      <c r="F7">
        <v>0</v>
      </c>
      <c r="G7">
        <v>0</v>
      </c>
      <c r="H7">
        <v>0</v>
      </c>
      <c r="I7">
        <f t="shared" si="0"/>
        <v>38</v>
      </c>
      <c r="J7">
        <f t="shared" si="1"/>
        <v>5.4200542005420056</v>
      </c>
      <c r="K7">
        <f t="shared" si="2"/>
        <v>0.5420054200542006</v>
      </c>
    </row>
    <row r="8" spans="1:20" x14ac:dyDescent="0.2">
      <c r="A8" t="s">
        <v>20</v>
      </c>
      <c r="B8" t="s">
        <v>13</v>
      </c>
      <c r="C8">
        <v>7</v>
      </c>
      <c r="D8">
        <v>5.0170000000000003</v>
      </c>
      <c r="E8">
        <v>31</v>
      </c>
      <c r="F8">
        <v>0</v>
      </c>
      <c r="G8">
        <v>0</v>
      </c>
      <c r="H8">
        <v>0</v>
      </c>
      <c r="I8">
        <f t="shared" si="0"/>
        <v>31</v>
      </c>
      <c r="J8">
        <f t="shared" si="1"/>
        <v>6.17899142914092</v>
      </c>
      <c r="K8">
        <f t="shared" si="2"/>
        <v>0.61789914291409198</v>
      </c>
    </row>
    <row r="9" spans="1:20" x14ac:dyDescent="0.2">
      <c r="A9" t="s">
        <v>20</v>
      </c>
      <c r="B9" t="s">
        <v>14</v>
      </c>
      <c r="C9">
        <v>8</v>
      </c>
      <c r="D9">
        <v>3.5760000000000001</v>
      </c>
      <c r="E9">
        <v>27</v>
      </c>
      <c r="F9">
        <v>0</v>
      </c>
      <c r="G9">
        <v>0</v>
      </c>
      <c r="H9">
        <v>0</v>
      </c>
      <c r="I9">
        <f t="shared" si="0"/>
        <v>27</v>
      </c>
      <c r="J9">
        <f t="shared" si="1"/>
        <v>7.5503355704697981</v>
      </c>
      <c r="K9">
        <f t="shared" si="2"/>
        <v>0.75503355704697983</v>
      </c>
    </row>
    <row r="10" spans="1:20" x14ac:dyDescent="0.2">
      <c r="A10" t="s">
        <v>20</v>
      </c>
      <c r="B10" t="s">
        <v>15</v>
      </c>
      <c r="C10">
        <v>10</v>
      </c>
      <c r="D10" s="2">
        <v>2.3410000000000002</v>
      </c>
      <c r="E10" s="2">
        <v>8</v>
      </c>
      <c r="F10" s="2">
        <v>0</v>
      </c>
      <c r="G10" s="2">
        <v>0</v>
      </c>
      <c r="H10" s="2">
        <v>0</v>
      </c>
      <c r="I10" s="2">
        <f t="shared" si="0"/>
        <v>8</v>
      </c>
      <c r="J10" s="2">
        <f t="shared" si="1"/>
        <v>3.4173430158052112</v>
      </c>
      <c r="K10" s="2">
        <f t="shared" si="2"/>
        <v>0.34173430158052109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2024-06-17T13:01:32Z</dcterms:created>
  <dcterms:modified xsi:type="dcterms:W3CDTF">2024-06-18T09:34:38Z</dcterms:modified>
</cp:coreProperties>
</file>